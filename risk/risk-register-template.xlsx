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Metadata" sheetId="2" state="visible" r:id="rId4"/>
    <sheet name="02_Risk_Register" sheetId="3" state="visible" r:id="rId5"/>
    <sheet name="03_Scoring_Legend" sheetId="4" state="visible" r:id="rId6"/>
    <sheet name="04_Residual_Rationale" sheetId="5" state="visible" r:id="rId7"/>
    <sheet name="05_Treatment_Plan" sheetId="6" state="visible" r:id="rId8"/>
    <sheet name="06_Accept_Avoid" sheetId="7" state="visible" r:id="rId9"/>
    <sheet name="07_Control_Gaps" sheetId="8" state="visible" r:id="rId10"/>
    <sheet name="08_KRI_Dashboard" sheetId="9" state="visible" r:id="rId11"/>
    <sheet name="09_Summary" sheetId="10" state="visible" r:id="rId12"/>
    <sheet name="10_Methodology" sheetId="11" state="visible" r:id="rId13"/>
    <sheet name="11_Issue_Checklist" sheetId="12" state="visible" r:id="rId14"/>
  </sheets>
  <definedNames>
    <definedName function="false" hidden="true" localSheetId="2" name="_xlnm._FilterDatabase" vbProcedure="false">02_Risk_Register!$A$1:$S$16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<sst xmlns="http://schemas.openxmlformats.org/spreadsheetml/2006/main" count="605" uniqueCount="400">
  <si>
    <t xml:space="preserve">Master Information Security Risk Register - REUSABLE TEMPLATE</t>
  </si>
  <si>
    <t xml:space="preserve">Assessed under NIST SP 800-30 Rev. 1, semi-quantitative 5 x 5</t>
  </si>
  <si>
    <t xml:space="preserve">FICTIONAL DATA NOTICE</t>
  </si>
  <si>
    <t xml:space="preserve">Cypher Group Inc. is a FICTIONAL company created solely to demonstrate applied GRC capability. All names, system details, dates, scores, approvals and findings are invented. No real company, customer or personal data appears anywhere in this workbook. No certification or attestation by any body is claimed or implied. Author: O.S | Portfolio project 2 of 7 | September 2026.</t>
  </si>
  <si>
    <t xml:space="preserve">Cell colour legend</t>
  </si>
  <si>
    <t xml:space="preserve">Yellow</t>
  </si>
  <si>
    <t xml:space="preserve">You type here. Inputs, narrative and owner fields.</t>
  </si>
  <si>
    <t xml:space="preserve">Grey</t>
  </si>
  <si>
    <t xml:space="preserve">Formula. Do NOT type over it - it recalculates itself.</t>
  </si>
  <si>
    <t xml:space="preserve">Green</t>
  </si>
  <si>
    <t xml:space="preserve">Worked example row showing the expected format and depth. Delete before issuing.</t>
  </si>
  <si>
    <t xml:space="preserve">Sheets in this workbook</t>
  </si>
  <si>
    <t xml:space="preserve">Sheet</t>
  </si>
  <si>
    <t xml:space="preserve">What it holds</t>
  </si>
  <si>
    <t xml:space="preserve">00_README</t>
  </si>
  <si>
    <t xml:space="preserve">This page. Notice, legend, how to use, GitHub and Notion instructions.</t>
  </si>
  <si>
    <t xml:space="preserve">01_Metadata</t>
  </si>
  <si>
    <t xml:space="preserve">Document control block, scope, and the documented assumptions.</t>
  </si>
  <si>
    <t xml:space="preserve">02_Risk_Register</t>
  </si>
  <si>
    <t xml:space="preserve">THE ARTIFACT. Columns A to L are the mandated 12-column matrix in the required order. Columns M to S are derived ratings and governance fields; delete them if a spec forbids extras.</t>
  </si>
  <si>
    <t xml:space="preserve">03_Scoring_Legend</t>
  </si>
  <si>
    <t xml:space="preserve">Likelihood scale, impact scale, qualitative thresholds, treatment definitions.</t>
  </si>
  <si>
    <t xml:space="preserve">04_Residual_Rationale</t>
  </si>
  <si>
    <t xml:space="preserve">Why every score moved, and why the ones that did not move did not.</t>
  </si>
  <si>
    <t xml:space="preserve">05_Treatment_Plan</t>
  </si>
  <si>
    <t xml:space="preserve">Dated, costed, owned actions with a target residual score.</t>
  </si>
  <si>
    <t xml:space="preserve">06_Accept_Avoid</t>
  </si>
  <si>
    <t xml:space="preserve">Formally accepted risks and risks avoided by design.</t>
  </si>
  <si>
    <t xml:space="preserve">07_Control_Gaps</t>
  </si>
  <si>
    <t xml:space="preserve">What the policy set does not cover, and which residual score each gap caps.</t>
  </si>
  <si>
    <t xml:space="preserve">08_KRI_Dashboard</t>
  </si>
  <si>
    <t xml:space="preserve">Key risk indicators with thresholds, sources, cadence and owners.</t>
  </si>
  <si>
    <t xml:space="preserve">09_Summary</t>
  </si>
  <si>
    <t xml:space="preserve">Live formula summary. Counts, aggregates and percentage reduction.</t>
  </si>
  <si>
    <t xml:space="preserve">10_Methodology</t>
  </si>
  <si>
    <t xml:space="preserve">Method, limitations and honest caveats. Approval block.</t>
  </si>
  <si>
    <t xml:space="preserve">11_Issue_Checklist</t>
  </si>
  <si>
    <t xml:space="preserve">Fifteen checks to pass before issuing.</t>
  </si>
  <si>
    <t xml:space="preserve">How to use this in GitHub</t>
  </si>
  <si>
    <t xml:space="preserve">1. Commit the .xlsx at risk/02-master-risk-register.xlsx (or templates/risk-register-template.xlsx).</t>
  </si>
  <si>
    <t xml:space="preserve">2. Also commit the .md version. GitHub renders Markdown inline; it will not preview an .xlsx, so the Markdown file is what a recruiter actually reads on their phone.</t>
  </si>
  <si>
    <t xml:space="preserve">3. Commit the .csv too. GitHub renders CSV as a sortable table in the browser, which is the fastest way for someone to see the register without downloading anything.</t>
  </si>
  <si>
    <t xml:space="preserve">4. In risk/README.md, link all three: the Markdown for reading, the xlsx for working, the CSV for previewing.</t>
  </si>
  <si>
    <t xml:space="preserve">5. Export 02_Risk_Register and 03_Scoring_Legend as PNG screenshots into risk/evidence/ and embed them in the README. A README with images gets read; a wall of links does not.</t>
  </si>
  <si>
    <t xml:space="preserve">How to use this in Notion</t>
  </si>
  <si>
    <t xml:space="preserve">1. Import the CSV, not the xlsx. In Notion: /database - Import - CSV. A CSV import creates a real Notion database with one row per risk; an xlsx import is less predictable and can flatten to a table block.</t>
  </si>
  <si>
    <t xml:space="preserve">2. Notion cannot import Excel formulas. Delete the imported Inherent Rating, Residual Rating and Risk Reduction columns and rebuild them as Notion FORMULA properties - the exact formulas are in the Project 2 handoff, section 5 Notion Layout.</t>
  </si>
  <si>
    <t xml:space="preserve">3. Change the property types after import: Likelihood and Impact to Select (1-5), Treatment Strategy to Select, Action Owner and Risk Owner to Select, Next Review Date to Date.</t>
  </si>
  <si>
    <t xml:space="preserve">4. Build four views for portfolio screenshots: Board grouped by Residual Rating; Board grouped by Inherent Rating; Table sorted by Risk Reduction descending; Gallery filtered to Residual Rating = High.</t>
  </si>
  <si>
    <t xml:space="preserve">5. Relate the Risk Register database to a Treatment Plan database and a Control Gap database so the TP and CG identifiers become clickable links rather than loose text.</t>
  </si>
  <si>
    <t xml:space="preserve">Metadata, scope and documented assumptions</t>
  </si>
  <si>
    <t xml:space="preserve">Scope and assumptions are stated so a reviewer can challenge them rather than guess at them.</t>
  </si>
  <si>
    <t xml:space="preserve">Field</t>
  </si>
  <si>
    <t xml:space="preserve">Value</t>
  </si>
  <si>
    <t xml:space="preserve">Document ID</t>
  </si>
  <si>
    <t xml:space="preserve">[FILL IN]</t>
  </si>
  <si>
    <t xml:space="preserve">Document title</t>
  </si>
  <si>
    <t xml:space="preserve">Version</t>
  </si>
  <si>
    <t xml:space="preserve">Classification</t>
  </si>
  <si>
    <t xml:space="preserve">Register owner (accountable)</t>
  </si>
  <si>
    <t xml:space="preserve">Prepared by (assessor)</t>
  </si>
  <si>
    <t xml:space="preserve">Approved by</t>
  </si>
  <si>
    <t xml:space="preserve">Assessment method</t>
  </si>
  <si>
    <t xml:space="preserve">Supporting standards referenced</t>
  </si>
  <si>
    <t xml:space="preserve">Assessment period</t>
  </si>
  <si>
    <t xml:space="preserve">Assessment date</t>
  </si>
  <si>
    <t xml:space="preserve">Approval date</t>
  </si>
  <si>
    <t xml:space="preserve">Effective date</t>
  </si>
  <si>
    <t xml:space="preserve">Review cadence</t>
  </si>
  <si>
    <t xml:space="preserve">Next scheduled review</t>
  </si>
  <si>
    <t xml:space="preserve">Next full annual review</t>
  </si>
  <si>
    <t xml:space="preserve">Risks in scope of this version</t>
  </si>
  <si>
    <t xml:space="preserve">Related documents</t>
  </si>
  <si>
    <t xml:space="preserve">Retention</t>
  </si>
  <si>
    <t xml:space="preserve">Scope</t>
  </si>
  <si>
    <t xml:space="preserve">Dimension</t>
  </si>
  <si>
    <t xml:space="preserve">Statement</t>
  </si>
  <si>
    <t xml:space="preserve">In scope</t>
  </si>
  <si>
    <t xml:space="preserve">[LIST THE ASSETS, SYSTEMS, DATA TYPES, LOCATIONS AND POPULATIONS ASSESSED]</t>
  </si>
  <si>
    <t xml:space="preserve">Out of scope</t>
  </si>
  <si>
    <t xml:space="preserve">[STATE EXPLICITLY WHAT WAS NOT ASSESSED AND WHY - an unstated exclusion is a finding]</t>
  </si>
  <si>
    <t xml:space="preserve">Time horizon</t>
  </si>
  <si>
    <t xml:space="preserve">All likelihood scores express the probability of the event occurring within a rolling 12-month period.</t>
  </si>
  <si>
    <t xml:space="preserve">Documented assumptions</t>
  </si>
  <si>
    <t xml:space="preserve">#</t>
  </si>
  <si>
    <t xml:space="preserve">Assumption</t>
  </si>
  <si>
    <t xml:space="preserve">Used for</t>
  </si>
  <si>
    <t xml:space="preserve">A-01</t>
  </si>
  <si>
    <t xml:space="preserve">[ASSUMPTION]</t>
  </si>
  <si>
    <t xml:space="preserve">[WHAT IT IS USED FOR]</t>
  </si>
  <si>
    <t xml:space="preserve">A-02</t>
  </si>
  <si>
    <t xml:space="preserve">A-03</t>
  </si>
  <si>
    <t xml:space="preserve">A-04</t>
  </si>
  <si>
    <t xml:space="preserve">A-05</t>
  </si>
  <si>
    <t xml:space="preserve">A-06</t>
  </si>
  <si>
    <t xml:space="preserve">Risk ID</t>
  </si>
  <si>
    <t xml:space="preserve">Target Asset &amp; Vulnerability</t>
  </si>
  <si>
    <t xml:space="preserve">Threat Description</t>
  </si>
  <si>
    <t xml:space="preserve">Inherent Likelihood (1-5)</t>
  </si>
  <si>
    <t xml:space="preserve">Inherent Impact (1-5)</t>
  </si>
  <si>
    <t xml:space="preserve">Total Inherent Risk Score (Likelihood x Impact)</t>
  </si>
  <si>
    <t xml:space="preserve">Mitigating Controls (Cross-referenced to Project 1 policies)</t>
  </si>
  <si>
    <t xml:space="preserve">Residual Likelihood (1-5)</t>
  </si>
  <si>
    <t xml:space="preserve">Residual Impact (1-5)</t>
  </si>
  <si>
    <t xml:space="preserve">Total Residual Risk Score (Likelihood x Impact)</t>
  </si>
  <si>
    <t xml:space="preserve">Risk Treatment Strategy (Mitigate, Accept, Transfer, Avoid)</t>
  </si>
  <si>
    <t xml:space="preserve">Action Owner (Job Title)</t>
  </si>
  <si>
    <t xml:space="preserve">Inherent Rating</t>
  </si>
  <si>
    <t xml:space="preserve">Residual Rating</t>
  </si>
  <si>
    <t xml:space="preserve">Risk Reduction</t>
  </si>
  <si>
    <t xml:space="preserve">Risk Owner (Business Role)</t>
  </si>
  <si>
    <t xml:space="preserve">Date Identified</t>
  </si>
  <si>
    <t xml:space="preserve">Status</t>
  </si>
  <si>
    <t xml:space="preserve">Next Review Date</t>
  </si>
  <si>
    <t xml:space="preserve">[R-001]</t>
  </si>
  <si>
    <t xml:space="preserve">[NAME THE ASSET AND ITS CLASSIFICATION TIER]. Vulnerability: [THE SPECIFIC WEAKNESS THAT MAKES THIS ASSET EXPLOITABLE - the weakness, not the threat].</t>
  </si>
  <si>
    <t xml:space="preserve">[THREAT SOURCE] exploits [VULNERABILITY] affecting [ASSET], resulting in [IMMEDIATE TECHNICAL CONSEQUENCE], leading to [BUSINESS, REGULATORY AND CUSTOMER IMPACT].</t>
  </si>
  <si>
    <t xml:space="preserve">[POLICY ID] [SECTION] [what the clause requires]; [POLICY ID] [SECTION] [what the clause requires]; repeat - cite the clause number, never just the policy name. If a control does not address the actual vulnerability, say so here rather than crediting it in the score.</t>
  </si>
  <si>
    <t xml:space="preserve">Mitigate</t>
  </si>
  <si>
    <t xml:space="preserve">[JOB TITLE, never a personal name]</t>
  </si>
  <si>
    <t xml:space="preserve">[BUSINESS LEADER JOB TITLE]</t>
  </si>
  <si>
    <t xml:space="preserve">[YYYY-MM-DD]</t>
  </si>
  <si>
    <t xml:space="preserve">Open</t>
  </si>
  <si>
    <t xml:space="preserve">Risk Scoring Legend</t>
  </si>
  <si>
    <t xml:space="preserve">Risk Score = Likelihood x Impact, scored 1-5 on each axis, giving 1-25. Calculated twice: inherent (controls assumed absent) and residual (existing, verified controls credited).</t>
  </si>
  <si>
    <t xml:space="preserve">1. Likelihood scale - probability of occurrence within 12 months</t>
  </si>
  <si>
    <t xml:space="preserve">Score</t>
  </si>
  <si>
    <t xml:space="preserve">Label</t>
  </si>
  <si>
    <t xml:space="preserve">Probability band</t>
  </si>
  <si>
    <t xml:space="preserve">Frequency anchor</t>
  </si>
  <si>
    <t xml:space="preserve">Evidence anchor</t>
  </si>
  <si>
    <t xml:space="preserve">Rare</t>
  </si>
  <si>
    <t xml:space="preserve">&lt; 5%</t>
  </si>
  <si>
    <t xml:space="preserve">No more than once in 20+ years</t>
  </si>
  <si>
    <t xml:space="preserve">No known occurrence in comparable organisations; strong preventive control verified as operating</t>
  </si>
  <si>
    <t xml:space="preserve">Unlikely</t>
  </si>
  <si>
    <t xml:space="preserve">5% - 20%</t>
  </si>
  <si>
    <t xml:space="preserve">Roughly once in 5 to 20 years</t>
  </si>
  <si>
    <t xml:space="preserve">Occurs occasionally in the sector; effective preventive controls verified in place</t>
  </si>
  <si>
    <t xml:space="preserve">Possible</t>
  </si>
  <si>
    <t xml:space="preserve">20% - 50%</t>
  </si>
  <si>
    <t xml:space="preserve">Roughly once in 2 to 5 years</t>
  </si>
  <si>
    <t xml:space="preserve">Occurs regularly in the sector; partial control coverage or a known residual weakness</t>
  </si>
  <si>
    <t xml:space="preserve">Likely</t>
  </si>
  <si>
    <t xml:space="preserve">50% - 80%</t>
  </si>
  <si>
    <t xml:space="preserve">Expected at least once in the period</t>
  </si>
  <si>
    <t xml:space="preserve">Common in the sector; a known, unmitigated weakness exists</t>
  </si>
  <si>
    <t xml:space="preserve">Almost Certain</t>
  </si>
  <si>
    <t xml:space="preserve">&gt; 80%</t>
  </si>
  <si>
    <t xml:space="preserve">Expected one or more times in the period</t>
  </si>
  <si>
    <t xml:space="preserve">Already occurring, actively targeted, or an exploitable weakness is confirmed present</t>
  </si>
  <si>
    <t xml:space="preserve">2. Impact scale - score the HIGHEST dimension reached, never the average</t>
  </si>
  <si>
    <t xml:space="preserve">Financial</t>
  </si>
  <si>
    <t xml:space="preserve">Regulatory / Legal</t>
  </si>
  <si>
    <t xml:space="preserve">Customer &amp; Contractual</t>
  </si>
  <si>
    <t xml:space="preserve">Operational</t>
  </si>
  <si>
    <t xml:space="preserve">Reputational</t>
  </si>
  <si>
    <t xml:space="preserve">Insignificant</t>
  </si>
  <si>
    <t xml:space="preserve">&lt; USD 10k (&lt; 0.3% ARR)</t>
  </si>
  <si>
    <t xml:space="preserve">None</t>
  </si>
  <si>
    <t xml:space="preserve">No customer aware; no notification</t>
  </si>
  <si>
    <t xml:space="preserve">&lt; 1 hour service disruption</t>
  </si>
  <si>
    <t xml:space="preserve">Internal awareness only</t>
  </si>
  <si>
    <t xml:space="preserve">Minor</t>
  </si>
  <si>
    <t xml:space="preserve">USD 10k - 50k (0.3% - 1.4% ARR)</t>
  </si>
  <si>
    <t xml:space="preserve">Internal finding only; no external report</t>
  </si>
  <si>
    <t xml:space="preserve">A single customer informed; no contractual breach</t>
  </si>
  <si>
    <t xml:space="preserve">1 - 4 hours disruption</t>
  </si>
  <si>
    <t xml:space="preserve">Limited internal or single-customer concern</t>
  </si>
  <si>
    <t xml:space="preserve">Moderate</t>
  </si>
  <si>
    <t xml:space="preserve">USD 50k - 250k (1.4% - 7% ARR)</t>
  </si>
  <si>
    <t xml:space="preserve">Reportable personal data breach under GDPR Art. 33; no fine expected</t>
  </si>
  <si>
    <t xml:space="preserve">Multiple customers notified; some churn; one deal lost at security review</t>
  </si>
  <si>
    <t xml:space="preserve">4 - 24 hours disruption or SLA breach</t>
  </si>
  <si>
    <t xml:space="preserve">Industry or local press; questions in sales cycles</t>
  </si>
  <si>
    <t xml:space="preserve">Major</t>
  </si>
  <si>
    <t xml:space="preserve">USD 250k - 1M (7% - 28% ARR)</t>
  </si>
  <si>
    <t xml:space="preserve">Regulatory investigation; GDPR Art. 33 and Art. 34 notification; fine plausible</t>
  </si>
  <si>
    <t xml:space="preserve">Mass customer notification; material churn; contractual penalties invoked</t>
  </si>
  <si>
    <t xml:space="preserve">1 - 3 days disruption</t>
  </si>
  <si>
    <t xml:space="preserve">Trade press coverage; named in breach reporting</t>
  </si>
  <si>
    <t xml:space="preserve">Severe</t>
  </si>
  <si>
    <t xml:space="preserve">&gt; USD 1M (&gt; 28% ARR)</t>
  </si>
  <si>
    <t xml:space="preserve">Fine at the GDPR 2% or 4% turnover tier; enforcement action</t>
  </si>
  <si>
    <t xml:space="preserve">Contract terminations at scale; loss of ability to sell to enterprise buyers</t>
  </si>
  <si>
    <t xml:space="preserve">&gt; 3 days disruption or unrecoverable data loss</t>
  </si>
  <si>
    <t xml:space="preserve">National coverage; existential reputational damage</t>
  </si>
  <si>
    <t xml:space="preserve">3. Qualitative risk thresholds</t>
  </si>
  <si>
    <t xml:space="preserve">Score range</t>
  </si>
  <si>
    <t xml:space="preserve">Rating</t>
  </si>
  <si>
    <t xml:space="preserve">Meaning</t>
  </si>
  <si>
    <t xml:space="preserve">Acceptance authority</t>
  </si>
  <si>
    <t xml:space="preserve">Mandatory review cadence</t>
  </si>
  <si>
    <t xml:space="preserve">1 - 4</t>
  </si>
  <si>
    <t xml:space="preserve">Low</t>
  </si>
  <si>
    <t xml:space="preserve">Tolerable. Manage through routine operations.</t>
  </si>
  <si>
    <t xml:space="preserve">Department Head</t>
  </si>
  <si>
    <t xml:space="preserve">Annual</t>
  </si>
  <si>
    <t xml:space="preserve">5 - 9</t>
  </si>
  <si>
    <t xml:space="preserve">Medium</t>
  </si>
  <si>
    <t xml:space="preserve">Tolerable with active management and a named owner.</t>
  </si>
  <si>
    <t xml:space="preserve">Chief Technology Officer</t>
  </si>
  <si>
    <t xml:space="preserve">Semi-annual</t>
  </si>
  <si>
    <t xml:space="preserve">10 - 14</t>
  </si>
  <si>
    <t xml:space="preserve">High</t>
  </si>
  <si>
    <t xml:space="preserve">Not tolerable without a funded, dated treatment plan.</t>
  </si>
  <si>
    <t xml:space="preserve">Chief Executive Officer</t>
  </si>
  <si>
    <t xml:space="preserve">Quarterly</t>
  </si>
  <si>
    <t xml:space="preserve">15 - 25</t>
  </si>
  <si>
    <t xml:space="preserve">Critical</t>
  </si>
  <si>
    <t xml:space="preserve">Not tolerable. Requires immediate treatment and executive visibility.</t>
  </si>
  <si>
    <t xml:space="preserve">CEO, with Board notification</t>
  </si>
  <si>
    <t xml:space="preserve">Quarterly, and on any material change</t>
  </si>
  <si>
    <t xml:space="preserve">4. Risk treatment strategy definitions</t>
  </si>
  <si>
    <t xml:space="preserve">Strategy</t>
  </si>
  <si>
    <t xml:space="preserve">Definition</t>
  </si>
  <si>
    <t xml:space="preserve">When it is the right answer</t>
  </si>
  <si>
    <t xml:space="preserve">Reduce likelihood, impact or both by implementing or strengthening controls.</t>
  </si>
  <si>
    <t xml:space="preserve">The activity is necessary and the risk can be economically reduced.</t>
  </si>
  <si>
    <t xml:space="preserve">Transfer</t>
  </si>
  <si>
    <t xml:space="preserve">Shift financial or operational consequence to a third party via insurance or contract. Reputational and regulatory liability CANNOT be transferred.</t>
  </si>
  <si>
    <t xml:space="preserve">Residual financial exposure remains material after mitigation.</t>
  </si>
  <si>
    <t xml:space="preserve">Avoid</t>
  </si>
  <si>
    <t xml:space="preserve">Stop, do not start, or redesign the activity that creates the risk.</t>
  </si>
  <si>
    <t xml:space="preserve">The risk is disproportionate to the business value of the activity.</t>
  </si>
  <si>
    <t xml:space="preserve">Accept</t>
  </si>
  <si>
    <t xml:space="preserve">Formally retain the risk, by a named owner with the authority to do so, with justification, compensating controls and an expiry date.</t>
  </si>
  <si>
    <t xml:space="preserve">Residual risk is within appetite, or treatment cost exceeds the risk reduction.</t>
  </si>
  <si>
    <t xml:space="preserve">Defensibility note. A 5 x 5 multiplicative model can only produce 1, 2, 3, 4, 5, 6, 8, 9, 10, 12, 15, 16, 20 or 25.</t>
  </si>
  <si>
    <t xml:space="preserve">The bands above are drawn so every achievable value falls into exactly one band, with no ambiguous boundary.</t>
  </si>
  <si>
    <t xml:space="preserve">Range compression is the standard criticism of 5 x 5 matrices. Volunteer it before an interviewer raises it.</t>
  </si>
  <si>
    <t xml:space="preserve">Accepted risk is not ignored risk. An acceptance with no named owner, justification and expiry date is an undocumented gap.</t>
  </si>
  <si>
    <t xml:space="preserve">Residual scoring rationale and control effectiveness</t>
  </si>
  <si>
    <t xml:space="preserve">The register records WHAT the scores are. This sheet records WHY - the part an auditor or an interviewer will actually interrogate.</t>
  </si>
  <si>
    <t xml:space="preserve">Inherent</t>
  </si>
  <si>
    <t xml:space="preserve">Inherent rating</t>
  </si>
  <si>
    <t xml:space="preserve">Residual</t>
  </si>
  <si>
    <t xml:space="preserve">Residual rating</t>
  </si>
  <si>
    <t xml:space="preserve">Reduction</t>
  </si>
  <si>
    <t xml:space="preserve">Risk owner (accountable business role)</t>
  </si>
  <si>
    <t xml:space="preserve">Justification for the residual score</t>
  </si>
  <si>
    <t xml:space="preserve">[SCORE]</t>
  </si>
  <si>
    <t xml:space="preserve">[BAND]</t>
  </si>
  <si>
    <t xml:space="preserve">[DIFF]</t>
  </si>
  <si>
    <t xml:space="preserve">Likelihood [X] to [Y]. [WHICH CONTROL CAUSED THE DROP, AND WHY IT CANNOT DROP FURTHER.] Impact [X] to [Y]. [SAME REASONING FOR IMPACT.]</t>
  </si>
  <si>
    <t xml:space="preserve">Control effectiveness caveat (applies to the whole register)</t>
  </si>
  <si>
    <t xml:space="preserve">[STATE ANY REASON RESIDUAL SCORES ARE CREDITED AT PARTIAL STRENGTH - acknowledgement rate, training completion, controls not yet technically enforced, or controls not yet tested. If there is no reason, say so explicitly and state what evidence supports full crediting.]</t>
  </si>
  <si>
    <t xml:space="preserve">Risk treatment plan</t>
  </si>
  <si>
    <t xml:space="preserve">Every action is dated, costed, owned by a job title, and carries a target residual score.</t>
  </si>
  <si>
    <t xml:space="preserve">Treatment ID</t>
  </si>
  <si>
    <t xml:space="preserve">Action</t>
  </si>
  <si>
    <t xml:space="preserve">Control type</t>
  </si>
  <si>
    <t xml:space="preserve">Existing policy anchor</t>
  </si>
  <si>
    <t xml:space="preserve">Estimated cost (USD)</t>
  </si>
  <si>
    <t xml:space="preserve">Action owner (job title)</t>
  </si>
  <si>
    <t xml:space="preserve">Target completion</t>
  </si>
  <si>
    <t xml:space="preserve">Target residual score</t>
  </si>
  <si>
    <t xml:space="preserve">[TP-01]</t>
  </si>
  <si>
    <t xml:space="preserve">[R-00X]</t>
  </si>
  <si>
    <t xml:space="preserve">[STRATEGY]</t>
  </si>
  <si>
    <t xml:space="preserve">[SPECIFIC, DATED, TESTABLE ACTION]</t>
  </si>
  <si>
    <t xml:space="preserve">[Preventive/Detective/Corrective]</t>
  </si>
  <si>
    <t xml:space="preserve">[POLICY ID SECTION, or 'New policy - gap CG-0X']</t>
  </si>
  <si>
    <t xml:space="preserve">[JOB TITLE]</t>
  </si>
  <si>
    <t xml:space="preserve">Total, year one</t>
  </si>
  <si>
    <t xml:space="preserve">Formally accepted risk, and risk avoided by design</t>
  </si>
  <si>
    <t xml:space="preserve">An acceptance with no named authority, no justification and no expiry date is not an acceptance - it is an undocumented gap, and it is the finding auditors write up most often.</t>
  </si>
  <si>
    <t xml:space="preserve">Formally accepted risk</t>
  </si>
  <si>
    <t xml:space="preserve">Acceptance ID</t>
  </si>
  <si>
    <t xml:space="preserve">Related risk</t>
  </si>
  <si>
    <t xml:space="preserve">What is accepted</t>
  </si>
  <si>
    <t xml:space="preserve">Justification</t>
  </si>
  <si>
    <t xml:space="preserve">Compensating control</t>
  </si>
  <si>
    <t xml:space="preserve">Accepting authority</t>
  </si>
  <si>
    <t xml:space="preserve">Expiry date</t>
  </si>
  <si>
    <t xml:space="preserve">Review</t>
  </si>
  <si>
    <t xml:space="preserve">[ACC-001]</t>
  </si>
  <si>
    <t xml:space="preserve">[WHAT IS BEING RETAINED]</t>
  </si>
  <si>
    <t xml:space="preserve">[BUSINESS JUSTIFICATION]</t>
  </si>
  <si>
    <t xml:space="preserve">[WHAT REDUCES IT IN THE MEANTIME]</t>
  </si>
  <si>
    <t xml:space="preserve">[NAME, JOB TITLE - must hold authority for that band]</t>
  </si>
  <si>
    <t xml:space="preserve">[YYYY-MM-DD - never blank]</t>
  </si>
  <si>
    <t xml:space="preserve">[TRIGGER]</t>
  </si>
  <si>
    <t xml:space="preserve">Risk avoided by design</t>
  </si>
  <si>
    <t xml:space="preserve">Avoidance ID</t>
  </si>
  <si>
    <t xml:space="preserve">Risk avoided</t>
  </si>
  <si>
    <t xml:space="preserve">Decision</t>
  </si>
  <si>
    <t xml:space="preserve">Policy anchor</t>
  </si>
  <si>
    <t xml:space="preserve">[AVD-001]</t>
  </si>
  <si>
    <t xml:space="preserve">[THE RISK THAT DOES NOT EXIST BECAUSE THE ACTIVITY IS NOT PERFORMED]</t>
  </si>
  <si>
    <t xml:space="preserve">[THE DECISION]</t>
  </si>
  <si>
    <t xml:space="preserve">[POLICY ID SECTION]</t>
  </si>
  <si>
    <t xml:space="preserve">Control gap register</t>
  </si>
  <si>
    <t xml:space="preserve">Gaps where the policy set provides no coverage. Each one CAPS how far a residual score can defensibly fall. This sheet is why the register is an assessment and not a formality.</t>
  </si>
  <si>
    <t xml:space="preserve">Gap ID</t>
  </si>
  <si>
    <t xml:space="preserve">Gap</t>
  </si>
  <si>
    <t xml:space="preserve">Risks affected</t>
  </si>
  <si>
    <t xml:space="preserve">Consequence for scoring</t>
  </si>
  <si>
    <t xml:space="preserve">Closure action</t>
  </si>
  <si>
    <t xml:space="preserve">[CG-01]</t>
  </si>
  <si>
    <t xml:space="preserve">[WHAT THE POLICY SET DOES NOT COVER]</t>
  </si>
  <si>
    <t xml:space="preserve">[RISK IDs]</t>
  </si>
  <si>
    <t xml:space="preserve">[WHICH RESIDUAL SCORE IS CAPPED, AND AT WHAT VALUE]</t>
  </si>
  <si>
    <t xml:space="preserve">[TP ID]</t>
  </si>
  <si>
    <t xml:space="preserve">Key risk indicators</t>
  </si>
  <si>
    <t xml:space="preserve">A register is a snapshot. KRIs are what tell you a score has moved before an incident does.</t>
  </si>
  <si>
    <t xml:space="preserve">KRI ID</t>
  </si>
  <si>
    <t xml:space="preserve">Indicator</t>
  </si>
  <si>
    <t xml:space="preserve">Source</t>
  </si>
  <si>
    <t xml:space="preserve">Threshold (green / amber / red)</t>
  </si>
  <si>
    <t xml:space="preserve">Reporting cadence</t>
  </si>
  <si>
    <t xml:space="preserve">Owner</t>
  </si>
  <si>
    <t xml:space="preserve">[KRI-01]</t>
  </si>
  <si>
    <t xml:space="preserve">[A MEASURABLE NUMBER THAT MOVES BEFORE AN INCIDENT DOES]</t>
  </si>
  <si>
    <t xml:space="preserve">[SYSTEM OR POLICY CLAUSE THAT PRODUCES IT]</t>
  </si>
  <si>
    <t xml:space="preserve">[GREEN / AMBER / RED THRESHOLDS]</t>
  </si>
  <si>
    <t xml:space="preserve">[CADENCE]</t>
  </si>
  <si>
    <t xml:space="preserve">Register Summary</t>
  </si>
  <si>
    <t xml:space="preserve">Every figure below is a live formula reading 02_Risk_Register. Do not type over them.</t>
  </si>
  <si>
    <t xml:space="preserve">Metric</t>
  </si>
  <si>
    <t xml:space="preserve">Risks assessed</t>
  </si>
  <si>
    <t xml:space="preserve">Inherent: Critical</t>
  </si>
  <si>
    <t xml:space="preserve">Inherent: High</t>
  </si>
  <si>
    <t xml:space="preserve">Inherent: Medium</t>
  </si>
  <si>
    <t xml:space="preserve">Inherent: Low</t>
  </si>
  <si>
    <t xml:space="preserve">Aggregate inherent score</t>
  </si>
  <si>
    <t xml:space="preserve">Maximum possible inherent score</t>
  </si>
  <si>
    <t xml:space="preserve">Mean inherent score</t>
  </si>
  <si>
    <t xml:space="preserve">Residual: Critical</t>
  </si>
  <si>
    <t xml:space="preserve">Residual: High</t>
  </si>
  <si>
    <t xml:space="preserve">Residual: Medium</t>
  </si>
  <si>
    <t xml:space="preserve">Residual: Low</t>
  </si>
  <si>
    <t xml:space="preserve">Aggregate residual score</t>
  </si>
  <si>
    <t xml:space="preserve">Mean residual score</t>
  </si>
  <si>
    <t xml:space="preserve">Total risk reduction (points)</t>
  </si>
  <si>
    <t xml:space="preserve">Risk reduction (percentage of inherent)</t>
  </si>
  <si>
    <t xml:space="preserve">Risks remaining above appetite (High or Critical)</t>
  </si>
  <si>
    <t xml:space="preserve">Register rows treated by Mitigation (any form)</t>
  </si>
  <si>
    <t xml:space="preserve">Register rows with a Transfer element</t>
  </si>
  <si>
    <t xml:space="preserve">Formal acceptances recorded (sheet 06)</t>
  </si>
  <si>
    <t xml:space="preserve">Risks avoided by design (sheet 06)</t>
  </si>
  <si>
    <t xml:space="preserve">Control gaps identified (sheet 07)</t>
  </si>
  <si>
    <t xml:space="preserve">Treatment actions raised (sheet 05)</t>
  </si>
  <si>
    <t xml:space="preserve">Estimated treatment cost, year one (USD)</t>
  </si>
  <si>
    <t xml:space="preserve">Headline sentence for leadership - write it here, in one line, in words a CEO could repeat in a board meeting without notes:</t>
  </si>
  <si>
    <t xml:space="preserve">[ONE-SENTENCE HEADLINE]</t>
  </si>
  <si>
    <t xml:space="preserve">Methodology, limitations and honest caveats</t>
  </si>
  <si>
    <t xml:space="preserve">Stating the weaknesses of your own model before an interviewer finds them is what separates a credible analyst from a spreadsheet jockey.</t>
  </si>
  <si>
    <t xml:space="preserve">Method</t>
  </si>
  <si>
    <t xml:space="preserve">[RESTATE THE METHOD, THE SCALES AND THE RULE FOR CREDITING CONTROLS.]</t>
  </si>
  <si>
    <t xml:space="preserve">Limitations, stated deliberately</t>
  </si>
  <si>
    <t xml:space="preserve">Limitation</t>
  </si>
  <si>
    <t xml:space="preserve">Explanation</t>
  </si>
  <si>
    <t xml:space="preserve">1</t>
  </si>
  <si>
    <t xml:space="preserve">Range compression</t>
  </si>
  <si>
    <t xml:space="preserve">[EXPLAIN THAT EQUAL PRODUCTS CAN DESCRIBE DIFFERENT RISKS.]</t>
  </si>
  <si>
    <t xml:space="preserve">2</t>
  </si>
  <si>
    <t xml:space="preserve">Ordinal arithmetic</t>
  </si>
  <si>
    <t xml:space="preserve">[EXPLAIN THAT ORDINAL SCALES RANK RATHER THAN MEASURE.]</t>
  </si>
  <si>
    <t xml:space="preserve">3</t>
  </si>
  <si>
    <t xml:space="preserve">Estimate provenance</t>
  </si>
  <si>
    <t xml:space="preserve">[STATE WHERE LIKELIHOOD ESTIMATES CAME FROM AND WHAT WOULD IMPROVE THEM.]</t>
  </si>
  <si>
    <t xml:space="preserve">4</t>
  </si>
  <si>
    <t xml:space="preserve">Control effectiveness is asserted, not tested</t>
  </si>
  <si>
    <t xml:space="preserve">[STATE WHETHER ANY TESTING HAS BEEN PERFORMED.]</t>
  </si>
  <si>
    <t xml:space="preserve">5</t>
  </si>
  <si>
    <t xml:space="preserve">[RESTATE WHAT IS NOT COVERED.]</t>
  </si>
  <si>
    <t xml:space="preserve">Assurance statement</t>
  </si>
  <si>
    <t xml:space="preserve">[IF A PORTFOLIO ARTEFACT: state that all content is fictional and that no certification or attestation is claimed. IF REAL: state the review and approval status.]</t>
  </si>
  <si>
    <t xml:space="preserve">Approval</t>
  </si>
  <si>
    <t xml:space="preserve">Role</t>
  </si>
  <si>
    <t xml:space="preserve">Name</t>
  </si>
  <si>
    <t xml:space="preserve">Date</t>
  </si>
  <si>
    <t xml:space="preserve">Prepared by</t>
  </si>
  <si>
    <t xml:space="preserve">[NAME], [TITLE]</t>
  </si>
  <si>
    <t xml:space="preserve">Assessment performed and register drafted</t>
  </si>
  <si>
    <t xml:space="preserve">[DATE]</t>
  </si>
  <si>
    <t xml:space="preserve">Reviewed by</t>
  </si>
  <si>
    <t xml:space="preserve">Register owner; reviewed scoring and control mapping</t>
  </si>
  <si>
    <t xml:space="preserve">[WHAT WAS APPROVED OR ACCEPTED]</t>
  </si>
  <si>
    <t xml:space="preserve">Signature: ______________________          Date: ______________</t>
  </si>
  <si>
    <t xml:space="preserve">Fill-in checklist before you issue this</t>
  </si>
  <si>
    <t xml:space="preserve">Type an x in column A when each line is true. Do not issue the register until every line is ticked.</t>
  </si>
  <si>
    <t xml:space="preserve">Done</t>
  </si>
  <si>
    <t xml:space="preserve">Check</t>
  </si>
  <si>
    <t xml:space="preserve">Every [BRACKETED] field replaced, or the row deleted</t>
  </si>
  <si>
    <t xml:space="preserve">Impact financial bands recalibrated to THIS organisation's revenue, not copied</t>
  </si>
  <si>
    <t xml:space="preserve">Every likelihood and impact score has a written justification on 04_Residual_Rationale</t>
  </si>
  <si>
    <t xml:space="preserve">Every mitigating control cites a SPECIFIC clause number, never just a policy name</t>
  </si>
  <si>
    <t xml:space="preserve">Residual score is lower than inherent ONLY where a real, operating control justifies it</t>
  </si>
  <si>
    <t xml:space="preserve">Any residual score that did NOT fall is explained, with the gap recorded on 07_Control_Gaps</t>
  </si>
  <si>
    <t xml:space="preserve">Every risk owner is a business leader; no risk is owned by the security analyst</t>
  </si>
  <si>
    <t xml:space="preserve">Every action owner is a job title, not a personal name</t>
  </si>
  <si>
    <t xml:space="preserve">Mitigate, Transfer, Avoid and Accept each appear at least once across sheets 02, 05 and 06</t>
  </si>
  <si>
    <t xml:space="preserve">Every acceptance has a named authority at the right approval level and an expiry date</t>
  </si>
  <si>
    <t xml:space="preserve">Arithmetic verified: every score column equals Likelihood x Impact</t>
  </si>
  <si>
    <t xml:space="preserve">One value per cell; no merged cells anywhere in 02_Risk_Register</t>
  </si>
  <si>
    <t xml:space="preserve">Limitations written honestly on 10_Methodology, including what the model cannot do</t>
  </si>
  <si>
    <t xml:space="preserve">Fictional-data notice present if this is a portfolio artefact</t>
  </si>
  <si>
    <t xml:space="preserve">Added to the document register with owner, approver and review dates</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</si>
</sst>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44546A"/>
      <name val="Arial"/>
      <family val="0"/>
      <charset val="1"/>
    </font>
    <font>
      <b val="true"/>
      <sz val="11"/>
      <color rgb="FFC00000"/>
      <name val="Arial"/>
      <family val="0"/>
      <charset val="1"/>
    </font>
    <font>
      <sz val="10"/>
      <name val="Arial"/>
      <family val="0"/>
      <charset val="1"/>
    </font>
    <font>
      <b val="true"/>
      <sz val="11"/>
      <color rgb="FF1F3864"/>
      <name val="Arial"/>
      <family val="0"/>
      <charset val="1"/>
    </font>
    <font>
      <b val="true"/>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FFF2CC"/>
        <bgColor rgb="FFEDEDED"/>
      </patternFill>
    </fill>
    <fill>
      <patternFill patternType="solid">
        <fgColor rgb="FFEDEDED"/>
        <bgColor rgb="FFE2EFDA"/>
      </patternFill>
    </fill>
    <fill>
      <patternFill patternType="solid">
        <fgColor rgb="FFE2EFDA"/>
        <bgColor rgb="FFEDEDED"/>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8" fontId="9" fillId="3"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EDEDED"/>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FD9A0"/>
          <bgColor rgb="FF000000"/>
        </patternFill>
      </fill>
    </dxf>
    <dxf>
      <fill>
        <patternFill patternType="solid">
          <fgColor rgb="FF833C00"/>
          <bgColor rgb="FF000000"/>
        </patternFill>
      </fill>
    </dxf>
    <dxf>
      <font>
        <name val="Arial"/>
        <charset val="1"/>
        <family val="0"/>
        <b val="1"/>
        <color rgb="FF9C0006"/>
      </font>
      <fill>
        <patternFill>
          <bgColor rgb="FFFFC7CE"/>
        </patternFill>
      </fill>
    </dxf>
    <dxf>
      <font>
        <name val="Arial"/>
        <charset val="1"/>
        <family val="0"/>
        <b val="1"/>
        <color rgb="FF833C00"/>
      </font>
      <fill>
        <patternFill>
          <bgColor rgb="FFFFD9A0"/>
        </patternFill>
      </fill>
    </dxf>
    <dxf>
      <font>
        <name val="Arial"/>
        <charset val="1"/>
        <family val="0"/>
        <b val="1"/>
        <color rgb="FF9C6500"/>
      </font>
      <fill>
        <patternFill>
          <bgColor rgb="FFFFEB9C"/>
        </patternFill>
      </fill>
    </dxf>
    <dxf>
      <font>
        <name val="Arial"/>
        <charset val="1"/>
        <family val="0"/>
        <b val="1"/>
        <color rgb="FF006100"/>
      </font>
      <fill>
        <patternFill>
          <bgColor rgb="FFC6EF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7F7F7F"/>
      <rgbColor rgb="FF9999FF"/>
      <rgbColor rgb="FF993366"/>
      <rgbColor rgb="FFFFF2CC"/>
      <rgbColor rgb="FFE2EFDA"/>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D9A0"/>
      <rgbColor rgb="FF2E75B6"/>
      <rgbColor rgb="FF33CCCC"/>
      <rgbColor rgb="FF99CC00"/>
      <rgbColor rgb="FFFFCC00"/>
      <rgbColor rgb="FFFF9900"/>
      <rgbColor rgb="FFC55A11"/>
      <rgbColor rgb="FF44546A"/>
      <rgbColor rgb="FF969696"/>
      <rgbColor rgb="FF1F3864"/>
      <rgbColor rgb="FF339966"/>
      <rgbColor rgb="FF003300"/>
      <rgbColor rgb="FF333300"/>
      <rgbColor rgb="FF833C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26"/>
    <col collapsed="false" customWidth="true" hidden="false" outlineLevel="0" max="6" min="4"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true" outlineLevel="0" collapsed="false">
      <c r="A5" s="4" t="s">
        <v>3</v>
      </c>
      <c r="B5" s="4"/>
      <c r="C5" s="4"/>
      <c r="D5" s="4"/>
      <c r="E5" s="4"/>
      <c r="F5" s="4"/>
    </row>
    <row r="6" customFormat="false" ht="15" hidden="false" customHeight="false" outlineLevel="0" collapsed="false">
      <c r="A6" s="4"/>
      <c r="B6" s="4"/>
      <c r="C6" s="4"/>
      <c r="D6" s="4"/>
      <c r="E6" s="4"/>
      <c r="F6" s="4"/>
    </row>
    <row r="7" customFormat="false" ht="15" hidden="false" customHeight="false" outlineLevel="0" collapsed="false">
      <c r="A7" s="4"/>
      <c r="B7" s="4"/>
      <c r="C7" s="4"/>
      <c r="D7" s="4"/>
      <c r="E7" s="4"/>
      <c r="F7" s="4"/>
    </row>
    <row r="8" customFormat="false" ht="15" hidden="false" customHeight="false" outlineLevel="0" collapsed="false">
      <c r="A8" s="4"/>
      <c r="B8" s="4"/>
      <c r="C8" s="4"/>
      <c r="D8" s="4"/>
      <c r="E8" s="4"/>
      <c r="F8" s="4"/>
    </row>
    <row r="9" customFormat="false" ht="15" hidden="false" customHeight="false" outlineLevel="0" collapsed="false">
      <c r="A9" s="4"/>
      <c r="B9" s="4"/>
      <c r="C9" s="4"/>
      <c r="D9" s="4"/>
      <c r="E9" s="4"/>
      <c r="F9" s="4"/>
    </row>
    <row r="11" customFormat="false" ht="15" hidden="false" customHeight="false" outlineLevel="0" collapsed="false">
      <c r="A11" s="5" t="s">
        <v>4</v>
      </c>
    </row>
    <row r="12" customFormat="false" ht="15" hidden="false" customHeight="false" outlineLevel="0" collapsed="false">
      <c r="A12" s="6" t="s">
        <v>5</v>
      </c>
      <c r="B12" s="7" t="s">
        <v>6</v>
      </c>
    </row>
    <row r="13" customFormat="false" ht="15" hidden="false" customHeight="false" outlineLevel="0" collapsed="false">
      <c r="A13" s="8" t="s">
        <v>7</v>
      </c>
      <c r="B13" s="7" t="s">
        <v>8</v>
      </c>
    </row>
    <row r="14" customFormat="false" ht="15" hidden="false" customHeight="false" outlineLevel="0" collapsed="false">
      <c r="A14" s="9" t="s">
        <v>9</v>
      </c>
      <c r="B14" s="7" t="s">
        <v>10</v>
      </c>
    </row>
    <row r="16" customFormat="false" ht="15" hidden="false" customHeight="false" outlineLevel="0" collapsed="false">
      <c r="A16" s="5" t="s">
        <v>11</v>
      </c>
    </row>
    <row r="17" customFormat="false" ht="15" hidden="false" customHeight="false" outlineLevel="0" collapsed="false">
      <c r="A17" s="10" t="s">
        <v>12</v>
      </c>
      <c r="B17" s="10" t="s">
        <v>13</v>
      </c>
    </row>
    <row r="18" customFormat="false" ht="30" hidden="false" customHeight="true" outlineLevel="0" collapsed="false">
      <c r="A18" s="11" t="s">
        <v>14</v>
      </c>
      <c r="B18" s="12" t="s">
        <v>15</v>
      </c>
    </row>
    <row r="19" customFormat="false" ht="30" hidden="false" customHeight="true" outlineLevel="0" collapsed="false">
      <c r="A19" s="11" t="s">
        <v>16</v>
      </c>
      <c r="B19" s="12" t="s">
        <v>17</v>
      </c>
    </row>
    <row r="20" customFormat="false" ht="30" hidden="false" customHeight="true" outlineLevel="0" collapsed="false">
      <c r="A20" s="11" t="s">
        <v>18</v>
      </c>
      <c r="B20" s="12" t="s">
        <v>19</v>
      </c>
    </row>
    <row r="21" customFormat="false" ht="30" hidden="false" customHeight="true" outlineLevel="0" collapsed="false">
      <c r="A21" s="11" t="s">
        <v>20</v>
      </c>
      <c r="B21" s="12" t="s">
        <v>21</v>
      </c>
    </row>
    <row r="22" customFormat="false" ht="30" hidden="false" customHeight="true" outlineLevel="0" collapsed="false">
      <c r="A22" s="11" t="s">
        <v>22</v>
      </c>
      <c r="B22" s="12" t="s">
        <v>23</v>
      </c>
    </row>
    <row r="23" customFormat="false" ht="30" hidden="false" customHeight="true" outlineLevel="0" collapsed="false">
      <c r="A23" s="11" t="s">
        <v>24</v>
      </c>
      <c r="B23" s="12" t="s">
        <v>25</v>
      </c>
    </row>
    <row r="24" customFormat="false" ht="30" hidden="false" customHeight="true" outlineLevel="0" collapsed="false">
      <c r="A24" s="11" t="s">
        <v>26</v>
      </c>
      <c r="B24" s="12" t="s">
        <v>27</v>
      </c>
    </row>
    <row r="25" customFormat="false" ht="30" hidden="false" customHeight="true" outlineLevel="0" collapsed="false">
      <c r="A25" s="11" t="s">
        <v>28</v>
      </c>
      <c r="B25" s="12" t="s">
        <v>29</v>
      </c>
    </row>
    <row r="26" customFormat="false" ht="30" hidden="false" customHeight="true" outlineLevel="0" collapsed="false">
      <c r="A26" s="11" t="s">
        <v>30</v>
      </c>
      <c r="B26" s="12" t="s">
        <v>31</v>
      </c>
    </row>
    <row r="27" customFormat="false" ht="30" hidden="false" customHeight="true" outlineLevel="0" collapsed="false">
      <c r="A27" s="11" t="s">
        <v>32</v>
      </c>
      <c r="B27" s="12" t="s">
        <v>33</v>
      </c>
    </row>
    <row r="28" customFormat="false" ht="30" hidden="false" customHeight="true" outlineLevel="0" collapsed="false">
      <c r="A28" s="11" t="s">
        <v>34</v>
      </c>
      <c r="B28" s="12" t="s">
        <v>35</v>
      </c>
    </row>
    <row r="29" customFormat="false" ht="30" hidden="false" customHeight="true" outlineLevel="0" collapsed="false">
      <c r="A29" s="11" t="s">
        <v>36</v>
      </c>
      <c r="B29" s="12" t="s">
        <v>37</v>
      </c>
    </row>
    <row r="31" customFormat="false" ht="15" hidden="false" customHeight="false" outlineLevel="0" collapsed="false">
      <c r="A31" s="5" t="s">
        <v>38</v>
      </c>
    </row>
    <row r="32" customFormat="false" ht="25.5" hidden="false" customHeight="true" outlineLevel="0" collapsed="false">
      <c r="A32" s="4" t="s">
        <v>39</v>
      </c>
      <c r="B32" s="4"/>
      <c r="C32" s="4"/>
      <c r="D32" s="4"/>
      <c r="E32" s="4"/>
      <c r="F32" s="4"/>
    </row>
    <row r="33" customFormat="false" ht="25.5" hidden="false" customHeight="true" outlineLevel="0" collapsed="false">
      <c r="A33" s="4" t="s">
        <v>40</v>
      </c>
      <c r="B33" s="4"/>
      <c r="C33" s="4"/>
      <c r="D33" s="4"/>
      <c r="E33" s="4"/>
      <c r="F33" s="4"/>
    </row>
    <row r="34" customFormat="false" ht="25.5" hidden="false" customHeight="true" outlineLevel="0" collapsed="false">
      <c r="A34" s="4" t="s">
        <v>41</v>
      </c>
      <c r="B34" s="4"/>
      <c r="C34" s="4"/>
      <c r="D34" s="4"/>
      <c r="E34" s="4"/>
      <c r="F34" s="4"/>
    </row>
    <row r="35" customFormat="false" ht="25.5" hidden="false" customHeight="true" outlineLevel="0" collapsed="false">
      <c r="A35" s="4" t="s">
        <v>42</v>
      </c>
      <c r="B35" s="4"/>
      <c r="C35" s="4"/>
      <c r="D35" s="4"/>
      <c r="E35" s="4"/>
      <c r="F35" s="4"/>
    </row>
    <row r="36" customFormat="false" ht="25.5" hidden="false" customHeight="true" outlineLevel="0" collapsed="false">
      <c r="A36" s="4" t="s">
        <v>43</v>
      </c>
      <c r="B36" s="4"/>
      <c r="C36" s="4"/>
      <c r="D36" s="4"/>
      <c r="E36" s="4"/>
      <c r="F36" s="4"/>
    </row>
    <row r="38" customFormat="false" ht="15" hidden="false" customHeight="false" outlineLevel="0" collapsed="false">
      <c r="A38" s="5" t="s">
        <v>44</v>
      </c>
    </row>
    <row r="39" customFormat="false" ht="30" hidden="false" customHeight="true" outlineLevel="0" collapsed="false">
      <c r="A39" s="4" t="s">
        <v>45</v>
      </c>
      <c r="B39" s="4"/>
      <c r="C39" s="4"/>
      <c r="D39" s="4"/>
      <c r="E39" s="4"/>
      <c r="F39" s="4"/>
    </row>
    <row r="40" customFormat="false" ht="30" hidden="false" customHeight="true" outlineLevel="0" collapsed="false">
      <c r="A40" s="4" t="s">
        <v>46</v>
      </c>
      <c r="B40" s="4"/>
      <c r="C40" s="4"/>
      <c r="D40" s="4"/>
      <c r="E40" s="4"/>
      <c r="F40" s="4"/>
    </row>
    <row r="41" customFormat="false" ht="30" hidden="false" customHeight="true" outlineLevel="0" collapsed="false">
      <c r="A41" s="4" t="s">
        <v>47</v>
      </c>
      <c r="B41" s="4"/>
      <c r="C41" s="4"/>
      <c r="D41" s="4"/>
      <c r="E41" s="4"/>
      <c r="F41" s="4"/>
    </row>
    <row r="42" customFormat="false" ht="30" hidden="false" customHeight="true" outlineLevel="0" collapsed="false">
      <c r="A42" s="4" t="s">
        <v>48</v>
      </c>
      <c r="B42" s="4"/>
      <c r="C42" s="4"/>
      <c r="D42" s="4"/>
      <c r="E42" s="4"/>
      <c r="F42" s="4"/>
    </row>
    <row r="43" customFormat="false" ht="30" hidden="false" customHeight="true" outlineLevel="0" collapsed="false">
      <c r="A43" s="4" t="s">
        <v>49</v>
      </c>
      <c r="B43" s="4"/>
      <c r="C43" s="4"/>
      <c r="D43" s="4"/>
      <c r="E43" s="4"/>
      <c r="F43" s="4"/>
    </row>
  </sheetData>
  <mergeCells count="11">
    <mergeCell ref="A5:F9"/>
    <mergeCell ref="A32:F32"/>
    <mergeCell ref="A33:F33"/>
    <mergeCell ref="A34:F34"/>
    <mergeCell ref="A35:F35"/>
    <mergeCell ref="A36:F36"/>
    <mergeCell ref="A39:F39"/>
    <mergeCell ref="A40:F40"/>
    <mergeCell ref="A41:F41"/>
    <mergeCell ref="A42:F42"/>
    <mergeCell ref="A43:F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8"/>
    <col collapsed="false" customWidth="true" hidden="false" outlineLevel="0" max="3" min="3" style="0" width="52"/>
  </cols>
  <sheetData>
    <row r="1" customFormat="false" ht="17.35" hidden="false" customHeight="false" outlineLevel="0" collapsed="false">
      <c r="A1" s="1" t="s">
        <v>50</v>
      </c>
    </row>
    <row r="2" customFormat="false" ht="15" hidden="false" customHeight="false" outlineLevel="0" collapsed="false">
      <c r="A2" s="2" t="s">
        <v>51</v>
      </c>
    </row>
    <row r="4" customFormat="false" ht="15" hidden="false" customHeight="false" outlineLevel="0" collapsed="false">
      <c r="A4" s="10" t="s">
        <v>52</v>
      </c>
      <c r="B4" s="10" t="s">
        <v>53</v>
      </c>
    </row>
    <row r="5" customFormat="false" ht="25.5" hidden="false" customHeight="true" outlineLevel="0" collapsed="false">
      <c r="A5" s="11" t="s">
        <v>54</v>
      </c>
      <c r="B5" s="13" t="s">
        <v>55</v>
      </c>
    </row>
    <row r="6" customFormat="false" ht="25.5" hidden="false" customHeight="true" outlineLevel="0" collapsed="false">
      <c r="A6" s="11" t="s">
        <v>56</v>
      </c>
      <c r="B6" s="13" t="s">
        <v>55</v>
      </c>
    </row>
    <row r="7" customFormat="false" ht="25.5" hidden="false" customHeight="true" outlineLevel="0" collapsed="false">
      <c r="A7" s="11" t="s">
        <v>57</v>
      </c>
      <c r="B7" s="13" t="s">
        <v>55</v>
      </c>
    </row>
    <row r="8" customFormat="false" ht="25.5" hidden="false" customHeight="true" outlineLevel="0" collapsed="false">
      <c r="A8" s="11" t="s">
        <v>58</v>
      </c>
      <c r="B8" s="13" t="s">
        <v>55</v>
      </c>
    </row>
    <row r="9" customFormat="false" ht="25.5" hidden="false" customHeight="true" outlineLevel="0" collapsed="false">
      <c r="A9" s="11" t="s">
        <v>59</v>
      </c>
      <c r="B9" s="13" t="s">
        <v>55</v>
      </c>
    </row>
    <row r="10" customFormat="false" ht="25.5" hidden="false" customHeight="true" outlineLevel="0" collapsed="false">
      <c r="A10" s="11" t="s">
        <v>60</v>
      </c>
      <c r="B10" s="13" t="s">
        <v>55</v>
      </c>
    </row>
    <row r="11" customFormat="false" ht="25.5" hidden="false" customHeight="true" outlineLevel="0" collapsed="false">
      <c r="A11" s="11" t="s">
        <v>61</v>
      </c>
      <c r="B11" s="13" t="s">
        <v>55</v>
      </c>
    </row>
    <row r="12" customFormat="false" ht="25.5" hidden="false" customHeight="true" outlineLevel="0" collapsed="false">
      <c r="A12" s="11" t="s">
        <v>62</v>
      </c>
      <c r="B12" s="13" t="s">
        <v>55</v>
      </c>
    </row>
    <row r="13" customFormat="false" ht="25.5" hidden="false" customHeight="true" outlineLevel="0" collapsed="false">
      <c r="A13" s="11" t="s">
        <v>63</v>
      </c>
      <c r="B13" s="13" t="s">
        <v>55</v>
      </c>
    </row>
    <row r="14" customFormat="false" ht="25.5" hidden="false" customHeight="true" outlineLevel="0" collapsed="false">
      <c r="A14" s="11" t="s">
        <v>64</v>
      </c>
      <c r="B14" s="13" t="s">
        <v>55</v>
      </c>
    </row>
    <row r="15" customFormat="false" ht="25.5" hidden="false" customHeight="true" outlineLevel="0" collapsed="false">
      <c r="A15" s="11" t="s">
        <v>65</v>
      </c>
      <c r="B15" s="13" t="s">
        <v>55</v>
      </c>
    </row>
    <row r="16" customFormat="false" ht="25.5" hidden="false" customHeight="true" outlineLevel="0" collapsed="false">
      <c r="A16" s="11" t="s">
        <v>66</v>
      </c>
      <c r="B16" s="13" t="s">
        <v>55</v>
      </c>
    </row>
    <row r="17" customFormat="false" ht="25.5" hidden="false" customHeight="true" outlineLevel="0" collapsed="false">
      <c r="A17" s="11" t="s">
        <v>67</v>
      </c>
      <c r="B17" s="13" t="s">
        <v>55</v>
      </c>
    </row>
    <row r="18" customFormat="false" ht="25.5" hidden="false" customHeight="true" outlineLevel="0" collapsed="false">
      <c r="A18" s="11" t="s">
        <v>68</v>
      </c>
      <c r="B18" s="13" t="s">
        <v>55</v>
      </c>
    </row>
    <row r="19" customFormat="false" ht="25.5" hidden="false" customHeight="true" outlineLevel="0" collapsed="false">
      <c r="A19" s="11" t="s">
        <v>69</v>
      </c>
      <c r="B19" s="13" t="s">
        <v>55</v>
      </c>
    </row>
    <row r="20" customFormat="false" ht="25.5" hidden="false" customHeight="true" outlineLevel="0" collapsed="false">
      <c r="A20" s="11" t="s">
        <v>70</v>
      </c>
      <c r="B20" s="13" t="s">
        <v>55</v>
      </c>
    </row>
    <row r="21" customFormat="false" ht="25.5" hidden="false" customHeight="true" outlineLevel="0" collapsed="false">
      <c r="A21" s="11" t="s">
        <v>71</v>
      </c>
      <c r="B21" s="13" t="s">
        <v>55</v>
      </c>
    </row>
    <row r="22" customFormat="false" ht="25.5" hidden="false" customHeight="true" outlineLevel="0" collapsed="false">
      <c r="A22" s="11" t="s">
        <v>72</v>
      </c>
      <c r="B22" s="13" t="s">
        <v>55</v>
      </c>
    </row>
    <row r="23" customFormat="false" ht="25.5" hidden="false" customHeight="true" outlineLevel="0" collapsed="false">
      <c r="A23" s="11" t="s">
        <v>73</v>
      </c>
      <c r="B23" s="13" t="s">
        <v>55</v>
      </c>
    </row>
    <row r="25" customFormat="false" ht="15" hidden="false" customHeight="false" outlineLevel="0" collapsed="false">
      <c r="A25" s="5" t="s">
        <v>74</v>
      </c>
    </row>
    <row r="26" customFormat="false" ht="23.85" hidden="false" customHeight="false" outlineLevel="0" collapsed="false">
      <c r="A26" s="10" t="s">
        <v>75</v>
      </c>
      <c r="B26" s="10" t="s">
        <v>76</v>
      </c>
    </row>
    <row r="27" customFormat="false" ht="57.75" hidden="false" customHeight="true" outlineLevel="0" collapsed="false">
      <c r="A27" s="11" t="s">
        <v>77</v>
      </c>
      <c r="B27" s="12" t="s">
        <v>78</v>
      </c>
    </row>
    <row r="28" customFormat="false" ht="57.75" hidden="false" customHeight="true" outlineLevel="0" collapsed="false">
      <c r="A28" s="11" t="s">
        <v>79</v>
      </c>
      <c r="B28" s="12" t="s">
        <v>80</v>
      </c>
    </row>
    <row r="29" customFormat="false" ht="57.75" hidden="false" customHeight="true" outlineLevel="0" collapsed="false">
      <c r="A29" s="11" t="s">
        <v>81</v>
      </c>
      <c r="B29" s="12" t="s">
        <v>82</v>
      </c>
    </row>
    <row r="31" customFormat="false" ht="15" hidden="false" customHeight="false" outlineLevel="0" collapsed="false">
      <c r="A31" s="5" t="s">
        <v>83</v>
      </c>
    </row>
    <row r="32" customFormat="false" ht="15" hidden="false" customHeight="false" outlineLevel="0" collapsed="false">
      <c r="A32" s="10" t="s">
        <v>84</v>
      </c>
      <c r="B32" s="10" t="s">
        <v>85</v>
      </c>
      <c r="C32" s="10" t="s">
        <v>86</v>
      </c>
    </row>
    <row r="33" customFormat="false" ht="42" hidden="false" customHeight="true" outlineLevel="0" collapsed="false">
      <c r="A33" s="11" t="s">
        <v>87</v>
      </c>
      <c r="B33" s="12" t="s">
        <v>88</v>
      </c>
      <c r="C33" s="12" t="s">
        <v>89</v>
      </c>
    </row>
    <row r="34" customFormat="false" ht="42" hidden="false" customHeight="true" outlineLevel="0" collapsed="false">
      <c r="A34" s="11" t="s">
        <v>90</v>
      </c>
      <c r="B34" s="12" t="s">
        <v>88</v>
      </c>
      <c r="C34" s="12" t="s">
        <v>89</v>
      </c>
    </row>
    <row r="35" customFormat="false" ht="42" hidden="false" customHeight="true" outlineLevel="0" collapsed="false">
      <c r="A35" s="11" t="s">
        <v>91</v>
      </c>
      <c r="B35" s="12" t="s">
        <v>88</v>
      </c>
      <c r="C35" s="12" t="s">
        <v>89</v>
      </c>
    </row>
    <row r="36" customFormat="false" ht="42" hidden="false" customHeight="true" outlineLevel="0" collapsed="false">
      <c r="A36" s="11" t="s">
        <v>92</v>
      </c>
      <c r="B36" s="12" t="s">
        <v>88</v>
      </c>
      <c r="C36" s="12" t="s">
        <v>89</v>
      </c>
    </row>
    <row r="37" customFormat="false" ht="42" hidden="false" customHeight="true" outlineLevel="0" collapsed="false">
      <c r="A37" s="11" t="s">
        <v>93</v>
      </c>
      <c r="B37" s="12" t="s">
        <v>88</v>
      </c>
      <c r="C37" s="12" t="s">
        <v>89</v>
      </c>
    </row>
    <row r="38" customFormat="false" ht="42" hidden="false" customHeight="true" outlineLevel="0" collapsed="false">
      <c r="A38" s="11" t="s">
        <v>94</v>
      </c>
      <c r="B38" s="12" t="s">
        <v>88</v>
      </c>
      <c r="C38" s="12"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S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62"/>
    <col collapsed="false" customWidth="true" hidden="false" outlineLevel="0" max="5" min="4" style="0" width="12"/>
    <col collapsed="false" customWidth="true" hidden="false" outlineLevel="0" max="6" min="6" style="0" width="14"/>
    <col collapsed="false" customWidth="true" hidden="false" outlineLevel="0" max="7" min="7" style="0" width="78"/>
    <col collapsed="false" customWidth="true" hidden="false" outlineLevel="0" max="9" min="8" style="0" width="12"/>
    <col collapsed="false" customWidth="true" hidden="false" outlineLevel="0" max="10" min="10" style="0" width="14"/>
    <col collapsed="false" customWidth="true" hidden="false" outlineLevel="0" max="11" min="11" style="0" width="18"/>
    <col collapsed="false" customWidth="true" hidden="false" outlineLevel="0" max="12" min="12" style="0" width="22"/>
    <col collapsed="false" customWidth="true" hidden="false" outlineLevel="0" max="14" min="13" style="0" width="13"/>
    <col collapsed="false" customWidth="true" hidden="false" outlineLevel="0" max="15" min="15" style="0" width="11"/>
    <col collapsed="false" customWidth="true" hidden="false" outlineLevel="0" max="16" min="16" style="0" width="26"/>
    <col collapsed="false" customWidth="true" hidden="false" outlineLevel="0" max="19" min="17" style="0" width="14"/>
  </cols>
  <sheetData>
    <row r="1" customFormat="false" ht="63.75" hidden="false" customHeight="true" outlineLevel="0" collapsed="false">
      <c r="A1" s="10" t="s">
        <v>95</v>
      </c>
      <c r="B1" s="10" t="s">
        <v>96</v>
      </c>
      <c r="C1" s="10" t="s">
        <v>97</v>
      </c>
      <c r="D1" s="10" t="s">
        <v>98</v>
      </c>
      <c r="E1" s="10" t="s">
        <v>99</v>
      </c>
      <c r="F1" s="10" t="s">
        <v>100</v>
      </c>
      <c r="G1" s="10" t="s">
        <v>101</v>
      </c>
      <c r="H1" s="10" t="s">
        <v>102</v>
      </c>
      <c r="I1" s="10" t="s">
        <v>103</v>
      </c>
      <c r="J1" s="10" t="s">
        <v>104</v>
      </c>
      <c r="K1" s="10" t="s">
        <v>105</v>
      </c>
      <c r="L1" s="10" t="s">
        <v>106</v>
      </c>
      <c r="M1" s="10" t="s">
        <v>107</v>
      </c>
      <c r="N1" s="10" t="s">
        <v>108</v>
      </c>
      <c r="O1" s="10" t="s">
        <v>109</v>
      </c>
      <c r="P1" s="10" t="s">
        <v>110</v>
      </c>
      <c r="Q1" s="10" t="s">
        <v>111</v>
      </c>
      <c r="R1" s="10" t="s">
        <v>112</v>
      </c>
      <c r="S1" s="10" t="s">
        <v>113</v>
      </c>
    </row>
    <row r="2" customFormat="false" ht="120" hidden="false" customHeight="true" outlineLevel="0" collapsed="false">
      <c r="A2" s="14" t="s">
        <v>114</v>
      </c>
      <c r="B2" s="14" t="s">
        <v>115</v>
      </c>
      <c r="C2" s="14" t="s">
        <v>116</v>
      </c>
      <c r="D2" s="15" t="n">
        <v>4</v>
      </c>
      <c r="E2" s="15" t="n">
        <v>5</v>
      </c>
      <c r="F2" s="16" t="n">
        <f aca="false">IF(OR($D2="",$E2=""),"",$D2*$E2)</f>
        <v>20</v>
      </c>
      <c r="G2" s="14" t="s">
        <v>117</v>
      </c>
      <c r="H2" s="15" t="n">
        <v>3</v>
      </c>
      <c r="I2" s="15" t="n">
        <v>4</v>
      </c>
      <c r="J2" s="16" t="n">
        <f aca="false">IF(OR($H2="",$I2=""),"",$H2*$I2)</f>
        <v>12</v>
      </c>
      <c r="K2" s="14" t="s">
        <v>118</v>
      </c>
      <c r="L2" s="14" t="s">
        <v>119</v>
      </c>
      <c r="M2" s="17" t="str">
        <f aca="false">IF($F2="","",IF($F2&gt;=15,"Critical",IF($F2&gt;=10,"High",IF($F2&gt;=5,"Medium","Low"))))</f>
        <v>Critical</v>
      </c>
      <c r="N2" s="17" t="str">
        <f aca="false">IF($J2="","",IF($J2&gt;=15,"Critical",IF($J2&gt;=10,"High",IF($J2&gt;=5,"Medium","Low"))))</f>
        <v>High</v>
      </c>
      <c r="O2" s="16" t="n">
        <f aca="false">IF(OR($F2="",$J2=""),"",$F2-$J2)</f>
        <v>8</v>
      </c>
      <c r="P2" s="14" t="s">
        <v>120</v>
      </c>
      <c r="Q2" s="14" t="s">
        <v>121</v>
      </c>
      <c r="R2" s="14" t="s">
        <v>122</v>
      </c>
      <c r="S2" s="14" t="s">
        <v>121</v>
      </c>
    </row>
    <row r="3" customFormat="false" ht="33.75" hidden="false" customHeight="true" outlineLevel="0" collapsed="false">
      <c r="A3" s="13"/>
      <c r="B3" s="13"/>
      <c r="C3" s="13"/>
      <c r="D3" s="18"/>
      <c r="E3" s="18"/>
      <c r="F3" s="16" t="str">
        <f aca="false">IF(OR($D3="",$E3=""),"",$D3*$E3)</f>
        <v/>
      </c>
      <c r="G3" s="13"/>
      <c r="H3" s="18"/>
      <c r="I3" s="18"/>
      <c r="J3" s="16" t="str">
        <f aca="false">IF(OR($H3="",$I3=""),"",$H3*$I3)</f>
        <v/>
      </c>
      <c r="K3" s="13"/>
      <c r="L3" s="13"/>
      <c r="M3" s="17" t="str">
        <f aca="false">IF($F3="","",IF($F3&gt;=15,"Critical",IF($F3&gt;=10,"High",IF($F3&gt;=5,"Medium","Low"))))</f>
        <v/>
      </c>
      <c r="N3" s="17" t="str">
        <f aca="false">IF($J3="","",IF($J3&gt;=15,"Critical",IF($J3&gt;=10,"High",IF($J3&gt;=5,"Medium","Low"))))</f>
        <v/>
      </c>
      <c r="O3" s="16" t="str">
        <f aca="false">IF(OR($F3="",$J3=""),"",$F3-$J3)</f>
        <v/>
      </c>
      <c r="P3" s="13"/>
      <c r="Q3" s="13"/>
      <c r="R3" s="13"/>
      <c r="S3" s="13"/>
    </row>
    <row r="4" customFormat="false" ht="33.75" hidden="false" customHeight="true" outlineLevel="0" collapsed="false">
      <c r="A4" s="13"/>
      <c r="B4" s="13"/>
      <c r="C4" s="13"/>
      <c r="D4" s="18"/>
      <c r="E4" s="18"/>
      <c r="F4" s="16" t="str">
        <f aca="false">IF(OR($D4="",$E4=""),"",$D4*$E4)</f>
        <v/>
      </c>
      <c r="G4" s="13"/>
      <c r="H4" s="18"/>
      <c r="I4" s="18"/>
      <c r="J4" s="16" t="str">
        <f aca="false">IF(OR($H4="",$I4=""),"",$H4*$I4)</f>
        <v/>
      </c>
      <c r="K4" s="13"/>
      <c r="L4" s="13"/>
      <c r="M4" s="17" t="str">
        <f aca="false">IF($F4="","",IF($F4&gt;=15,"Critical",IF($F4&gt;=10,"High",IF($F4&gt;=5,"Medium","Low"))))</f>
        <v/>
      </c>
      <c r="N4" s="17" t="str">
        <f aca="false">IF($J4="","",IF($J4&gt;=15,"Critical",IF($J4&gt;=10,"High",IF($J4&gt;=5,"Medium","Low"))))</f>
        <v/>
      </c>
      <c r="O4" s="16" t="str">
        <f aca="false">IF(OR($F4="",$J4=""),"",$F4-$J4)</f>
        <v/>
      </c>
      <c r="P4" s="13"/>
      <c r="Q4" s="13"/>
      <c r="R4" s="13"/>
      <c r="S4" s="13"/>
    </row>
    <row r="5" customFormat="false" ht="33.75" hidden="false" customHeight="true" outlineLevel="0" collapsed="false">
      <c r="A5" s="13"/>
      <c r="B5" s="13"/>
      <c r="C5" s="13"/>
      <c r="D5" s="18"/>
      <c r="E5" s="18"/>
      <c r="F5" s="16" t="str">
        <f aca="false">IF(OR($D5="",$E5=""),"",$D5*$E5)</f>
        <v/>
      </c>
      <c r="G5" s="13"/>
      <c r="H5" s="18"/>
      <c r="I5" s="18"/>
      <c r="J5" s="16" t="str">
        <f aca="false">IF(OR($H5="",$I5=""),"",$H5*$I5)</f>
        <v/>
      </c>
      <c r="K5" s="13"/>
      <c r="L5" s="13"/>
      <c r="M5" s="17" t="str">
        <f aca="false">IF($F5="","",IF($F5&gt;=15,"Critical",IF($F5&gt;=10,"High",IF($F5&gt;=5,"Medium","Low"))))</f>
        <v/>
      </c>
      <c r="N5" s="17" t="str">
        <f aca="false">IF($J5="","",IF($J5&gt;=15,"Critical",IF($J5&gt;=10,"High",IF($J5&gt;=5,"Medium","Low"))))</f>
        <v/>
      </c>
      <c r="O5" s="16" t="str">
        <f aca="false">IF(OR($F5="",$J5=""),"",$F5-$J5)</f>
        <v/>
      </c>
      <c r="P5" s="13"/>
      <c r="Q5" s="13"/>
      <c r="R5" s="13"/>
      <c r="S5" s="13"/>
    </row>
    <row r="6" customFormat="false" ht="33.75" hidden="false" customHeight="true" outlineLevel="0" collapsed="false">
      <c r="A6" s="13"/>
      <c r="B6" s="13"/>
      <c r="C6" s="13"/>
      <c r="D6" s="18"/>
      <c r="E6" s="18"/>
      <c r="F6" s="16" t="str">
        <f aca="false">IF(OR($D6="",$E6=""),"",$D6*$E6)</f>
        <v/>
      </c>
      <c r="G6" s="13"/>
      <c r="H6" s="18"/>
      <c r="I6" s="18"/>
      <c r="J6" s="16" t="str">
        <f aca="false">IF(OR($H6="",$I6=""),"",$H6*$I6)</f>
        <v/>
      </c>
      <c r="K6" s="13"/>
      <c r="L6" s="13"/>
      <c r="M6" s="17" t="str">
        <f aca="false">IF($F6="","",IF($F6&gt;=15,"Critical",IF($F6&gt;=10,"High",IF($F6&gt;=5,"Medium","Low"))))</f>
        <v/>
      </c>
      <c r="N6" s="17" t="str">
        <f aca="false">IF($J6="","",IF($J6&gt;=15,"Critical",IF($J6&gt;=10,"High",IF($J6&gt;=5,"Medium","Low"))))</f>
        <v/>
      </c>
      <c r="O6" s="16" t="str">
        <f aca="false">IF(OR($F6="",$J6=""),"",$F6-$J6)</f>
        <v/>
      </c>
      <c r="P6" s="13"/>
      <c r="Q6" s="13"/>
      <c r="R6" s="13"/>
      <c r="S6" s="13"/>
    </row>
    <row r="7" customFormat="false" ht="33.75" hidden="false" customHeight="true" outlineLevel="0" collapsed="false">
      <c r="A7" s="13"/>
      <c r="B7" s="13"/>
      <c r="C7" s="13"/>
      <c r="D7" s="18"/>
      <c r="E7" s="18"/>
      <c r="F7" s="16" t="str">
        <f aca="false">IF(OR($D7="",$E7=""),"",$D7*$E7)</f>
        <v/>
      </c>
      <c r="G7" s="13"/>
      <c r="H7" s="18"/>
      <c r="I7" s="18"/>
      <c r="J7" s="16" t="str">
        <f aca="false">IF(OR($H7="",$I7=""),"",$H7*$I7)</f>
        <v/>
      </c>
      <c r="K7" s="13"/>
      <c r="L7" s="13"/>
      <c r="M7" s="17" t="str">
        <f aca="false">IF($F7="","",IF($F7&gt;=15,"Critical",IF($F7&gt;=10,"High",IF($F7&gt;=5,"Medium","Low"))))</f>
        <v/>
      </c>
      <c r="N7" s="17" t="str">
        <f aca="false">IF($J7="","",IF($J7&gt;=15,"Critical",IF($J7&gt;=10,"High",IF($J7&gt;=5,"Medium","Low"))))</f>
        <v/>
      </c>
      <c r="O7" s="16" t="str">
        <f aca="false">IF(OR($F7="",$J7=""),"",$F7-$J7)</f>
        <v/>
      </c>
      <c r="P7" s="13"/>
      <c r="Q7" s="13"/>
      <c r="R7" s="13"/>
      <c r="S7" s="13"/>
    </row>
    <row r="8" customFormat="false" ht="33.75" hidden="false" customHeight="true" outlineLevel="0" collapsed="false">
      <c r="A8" s="13"/>
      <c r="B8" s="13"/>
      <c r="C8" s="13"/>
      <c r="D8" s="18"/>
      <c r="E8" s="18"/>
      <c r="F8" s="16" t="str">
        <f aca="false">IF(OR($D8="",$E8=""),"",$D8*$E8)</f>
        <v/>
      </c>
      <c r="G8" s="13"/>
      <c r="H8" s="18"/>
      <c r="I8" s="18"/>
      <c r="J8" s="16" t="str">
        <f aca="false">IF(OR($H8="",$I8=""),"",$H8*$I8)</f>
        <v/>
      </c>
      <c r="K8" s="13"/>
      <c r="L8" s="13"/>
      <c r="M8" s="17" t="str">
        <f aca="false">IF($F8="","",IF($F8&gt;=15,"Critical",IF($F8&gt;=10,"High",IF($F8&gt;=5,"Medium","Low"))))</f>
        <v/>
      </c>
      <c r="N8" s="17" t="str">
        <f aca="false">IF($J8="","",IF($J8&gt;=15,"Critical",IF($J8&gt;=10,"High",IF($J8&gt;=5,"Medium","Low"))))</f>
        <v/>
      </c>
      <c r="O8" s="16" t="str">
        <f aca="false">IF(OR($F8="",$J8=""),"",$F8-$J8)</f>
        <v/>
      </c>
      <c r="P8" s="13"/>
      <c r="Q8" s="13"/>
      <c r="R8" s="13"/>
      <c r="S8" s="13"/>
    </row>
    <row r="9" customFormat="false" ht="33.75" hidden="false" customHeight="true" outlineLevel="0" collapsed="false">
      <c r="A9" s="13"/>
      <c r="B9" s="13"/>
      <c r="C9" s="13"/>
      <c r="D9" s="18"/>
      <c r="E9" s="18"/>
      <c r="F9" s="16" t="str">
        <f aca="false">IF(OR($D9="",$E9=""),"",$D9*$E9)</f>
        <v/>
      </c>
      <c r="G9" s="13"/>
      <c r="H9" s="18"/>
      <c r="I9" s="18"/>
      <c r="J9" s="16" t="str">
        <f aca="false">IF(OR($H9="",$I9=""),"",$H9*$I9)</f>
        <v/>
      </c>
      <c r="K9" s="13"/>
      <c r="L9" s="13"/>
      <c r="M9" s="17" t="str">
        <f aca="false">IF($F9="","",IF($F9&gt;=15,"Critical",IF($F9&gt;=10,"High",IF($F9&gt;=5,"Medium","Low"))))</f>
        <v/>
      </c>
      <c r="N9" s="17" t="str">
        <f aca="false">IF($J9="","",IF($J9&gt;=15,"Critical",IF($J9&gt;=10,"High",IF($J9&gt;=5,"Medium","Low"))))</f>
        <v/>
      </c>
      <c r="O9" s="16" t="str">
        <f aca="false">IF(OR($F9="",$J9=""),"",$F9-$J9)</f>
        <v/>
      </c>
      <c r="P9" s="13"/>
      <c r="Q9" s="13"/>
      <c r="R9" s="13"/>
      <c r="S9" s="13"/>
    </row>
    <row r="10" customFormat="false" ht="33.75" hidden="false" customHeight="true" outlineLevel="0" collapsed="false">
      <c r="A10" s="13"/>
      <c r="B10" s="13"/>
      <c r="C10" s="13"/>
      <c r="D10" s="18"/>
      <c r="E10" s="18"/>
      <c r="F10" s="16" t="str">
        <f aca="false">IF(OR($D10="",$E10=""),"",$D10*$E10)</f>
        <v/>
      </c>
      <c r="G10" s="13"/>
      <c r="H10" s="18"/>
      <c r="I10" s="18"/>
      <c r="J10" s="16" t="str">
        <f aca="false">IF(OR($H10="",$I10=""),"",$H10*$I10)</f>
        <v/>
      </c>
      <c r="K10" s="13"/>
      <c r="L10" s="13"/>
      <c r="M10" s="17" t="str">
        <f aca="false">IF($F10="","",IF($F10&gt;=15,"Critical",IF($F10&gt;=10,"High",IF($F10&gt;=5,"Medium","Low"))))</f>
        <v/>
      </c>
      <c r="N10" s="17" t="str">
        <f aca="false">IF($J10="","",IF($J10&gt;=15,"Critical",IF($J10&gt;=10,"High",IF($J10&gt;=5,"Medium","Low"))))</f>
        <v/>
      </c>
      <c r="O10" s="16" t="str">
        <f aca="false">IF(OR($F10="",$J10=""),"",$F10-$J10)</f>
        <v/>
      </c>
      <c r="P10" s="13"/>
      <c r="Q10" s="13"/>
      <c r="R10" s="13"/>
      <c r="S10" s="13"/>
    </row>
    <row r="11" customFormat="false" ht="33.75" hidden="false" customHeight="true" outlineLevel="0" collapsed="false">
      <c r="A11" s="13"/>
      <c r="B11" s="13"/>
      <c r="C11" s="13"/>
      <c r="D11" s="18"/>
      <c r="E11" s="18"/>
      <c r="F11" s="16" t="str">
        <f aca="false">IF(OR($D11="",$E11=""),"",$D11*$E11)</f>
        <v/>
      </c>
      <c r="G11" s="13"/>
      <c r="H11" s="18"/>
      <c r="I11" s="18"/>
      <c r="J11" s="16" t="str">
        <f aca="false">IF(OR($H11="",$I11=""),"",$H11*$I11)</f>
        <v/>
      </c>
      <c r="K11" s="13"/>
      <c r="L11" s="13"/>
      <c r="M11" s="17" t="str">
        <f aca="false">IF($F11="","",IF($F11&gt;=15,"Critical",IF($F11&gt;=10,"High",IF($F11&gt;=5,"Medium","Low"))))</f>
        <v/>
      </c>
      <c r="N11" s="17" t="str">
        <f aca="false">IF($J11="","",IF($J11&gt;=15,"Critical",IF($J11&gt;=10,"High",IF($J11&gt;=5,"Medium","Low"))))</f>
        <v/>
      </c>
      <c r="O11" s="16" t="str">
        <f aca="false">IF(OR($F11="",$J11=""),"",$F11-$J11)</f>
        <v/>
      </c>
      <c r="P11" s="13"/>
      <c r="Q11" s="13"/>
      <c r="R11" s="13"/>
      <c r="S11" s="13"/>
    </row>
    <row r="12" customFormat="false" ht="33.75" hidden="false" customHeight="true" outlineLevel="0" collapsed="false">
      <c r="A12" s="13"/>
      <c r="B12" s="13"/>
      <c r="C12" s="13"/>
      <c r="D12" s="18"/>
      <c r="E12" s="18"/>
      <c r="F12" s="16" t="str">
        <f aca="false">IF(OR($D12="",$E12=""),"",$D12*$E12)</f>
        <v/>
      </c>
      <c r="G12" s="13"/>
      <c r="H12" s="18"/>
      <c r="I12" s="18"/>
      <c r="J12" s="16" t="str">
        <f aca="false">IF(OR($H12="",$I12=""),"",$H12*$I12)</f>
        <v/>
      </c>
      <c r="K12" s="13"/>
      <c r="L12" s="13"/>
      <c r="M12" s="17" t="str">
        <f aca="false">IF($F12="","",IF($F12&gt;=15,"Critical",IF($F12&gt;=10,"High",IF($F12&gt;=5,"Medium","Low"))))</f>
        <v/>
      </c>
      <c r="N12" s="17" t="str">
        <f aca="false">IF($J12="","",IF($J12&gt;=15,"Critical",IF($J12&gt;=10,"High",IF($J12&gt;=5,"Medium","Low"))))</f>
        <v/>
      </c>
      <c r="O12" s="16" t="str">
        <f aca="false">IF(OR($F12="",$J12=""),"",$F12-$J12)</f>
        <v/>
      </c>
      <c r="P12" s="13"/>
      <c r="Q12" s="13"/>
      <c r="R12" s="13"/>
      <c r="S12" s="13"/>
    </row>
    <row r="13" customFormat="false" ht="33.75" hidden="false" customHeight="true" outlineLevel="0" collapsed="false">
      <c r="A13" s="13"/>
      <c r="B13" s="13"/>
      <c r="C13" s="13"/>
      <c r="D13" s="18"/>
      <c r="E13" s="18"/>
      <c r="F13" s="16" t="str">
        <f aca="false">IF(OR($D13="",$E13=""),"",$D13*$E13)</f>
        <v/>
      </c>
      <c r="G13" s="13"/>
      <c r="H13" s="18"/>
      <c r="I13" s="18"/>
      <c r="J13" s="16" t="str">
        <f aca="false">IF(OR($H13="",$I13=""),"",$H13*$I13)</f>
        <v/>
      </c>
      <c r="K13" s="13"/>
      <c r="L13" s="13"/>
      <c r="M13" s="17" t="str">
        <f aca="false">IF($F13="","",IF($F13&gt;=15,"Critical",IF($F13&gt;=10,"High",IF($F13&gt;=5,"Medium","Low"))))</f>
        <v/>
      </c>
      <c r="N13" s="17" t="str">
        <f aca="false">IF($J13="","",IF($J13&gt;=15,"Critical",IF($J13&gt;=10,"High",IF($J13&gt;=5,"Medium","Low"))))</f>
        <v/>
      </c>
      <c r="O13" s="16" t="str">
        <f aca="false">IF(OR($F13="",$J13=""),"",$F13-$J13)</f>
        <v/>
      </c>
      <c r="P13" s="13"/>
      <c r="Q13" s="13"/>
      <c r="R13" s="13"/>
      <c r="S13" s="13"/>
    </row>
    <row r="14" customFormat="false" ht="33.75" hidden="false" customHeight="true" outlineLevel="0" collapsed="false">
      <c r="A14" s="13"/>
      <c r="B14" s="13"/>
      <c r="C14" s="13"/>
      <c r="D14" s="18"/>
      <c r="E14" s="18"/>
      <c r="F14" s="16" t="str">
        <f aca="false">IF(OR($D14="",$E14=""),"",$D14*$E14)</f>
        <v/>
      </c>
      <c r="G14" s="13"/>
      <c r="H14" s="18"/>
      <c r="I14" s="18"/>
      <c r="J14" s="16" t="str">
        <f aca="false">IF(OR($H14="",$I14=""),"",$H14*$I14)</f>
        <v/>
      </c>
      <c r="K14" s="13"/>
      <c r="L14" s="13"/>
      <c r="M14" s="17" t="str">
        <f aca="false">IF($F14="","",IF($F14&gt;=15,"Critical",IF($F14&gt;=10,"High",IF($F14&gt;=5,"Medium","Low"))))</f>
        <v/>
      </c>
      <c r="N14" s="17" t="str">
        <f aca="false">IF($J14="","",IF($J14&gt;=15,"Critical",IF($J14&gt;=10,"High",IF($J14&gt;=5,"Medium","Low"))))</f>
        <v/>
      </c>
      <c r="O14" s="16" t="str">
        <f aca="false">IF(OR($F14="",$J14=""),"",$F14-$J14)</f>
        <v/>
      </c>
      <c r="P14" s="13"/>
      <c r="Q14" s="13"/>
      <c r="R14" s="13"/>
      <c r="S14" s="13"/>
    </row>
    <row r="15" customFormat="false" ht="33.75" hidden="false" customHeight="true" outlineLevel="0" collapsed="false">
      <c r="A15" s="13"/>
      <c r="B15" s="13"/>
      <c r="C15" s="13"/>
      <c r="D15" s="18"/>
      <c r="E15" s="18"/>
      <c r="F15" s="16" t="str">
        <f aca="false">IF(OR($D15="",$E15=""),"",$D15*$E15)</f>
        <v/>
      </c>
      <c r="G15" s="13"/>
      <c r="H15" s="18"/>
      <c r="I15" s="18"/>
      <c r="J15" s="16" t="str">
        <f aca="false">IF(OR($H15="",$I15=""),"",$H15*$I15)</f>
        <v/>
      </c>
      <c r="K15" s="13"/>
      <c r="L15" s="13"/>
      <c r="M15" s="17" t="str">
        <f aca="false">IF($F15="","",IF($F15&gt;=15,"Critical",IF($F15&gt;=10,"High",IF($F15&gt;=5,"Medium","Low"))))</f>
        <v/>
      </c>
      <c r="N15" s="17" t="str">
        <f aca="false">IF($J15="","",IF($J15&gt;=15,"Critical",IF($J15&gt;=10,"High",IF($J15&gt;=5,"Medium","Low"))))</f>
        <v/>
      </c>
      <c r="O15" s="16" t="str">
        <f aca="false">IF(OR($F15="",$J15=""),"",$F15-$J15)</f>
        <v/>
      </c>
      <c r="P15" s="13"/>
      <c r="Q15" s="13"/>
      <c r="R15" s="13"/>
      <c r="S15" s="13"/>
    </row>
    <row r="16" customFormat="false" ht="33.75" hidden="false" customHeight="true" outlineLevel="0" collapsed="false">
      <c r="A16" s="13"/>
      <c r="B16" s="13"/>
      <c r="C16" s="13"/>
      <c r="D16" s="18"/>
      <c r="E16" s="18"/>
      <c r="F16" s="16" t="str">
        <f aca="false">IF(OR($D16="",$E16=""),"",$D16*$E16)</f>
        <v/>
      </c>
      <c r="G16" s="13"/>
      <c r="H16" s="18"/>
      <c r="I16" s="18"/>
      <c r="J16" s="16" t="str">
        <f aca="false">IF(OR($H16="",$I16=""),"",$H16*$I16)</f>
        <v/>
      </c>
      <c r="K16" s="13"/>
      <c r="L16" s="13"/>
      <c r="M16" s="17" t="str">
        <f aca="false">IF($F16="","",IF($F16&gt;=15,"Critical",IF($F16&gt;=10,"High",IF($F16&gt;=5,"Medium","Low"))))</f>
        <v/>
      </c>
      <c r="N16" s="17" t="str">
        <f aca="false">IF($J16="","",IF($J16&gt;=15,"Critical",IF($J16&gt;=10,"High",IF($J16&gt;=5,"Medium","Low"))))</f>
        <v/>
      </c>
      <c r="O16" s="16" t="str">
        <f aca="false">IF(OR($F16="",$J16=""),"",$F16-$J16)</f>
        <v/>
      </c>
      <c r="P16" s="13"/>
      <c r="Q16" s="13"/>
      <c r="R16" s="13"/>
      <c r="S16" s="13"/>
    </row>
  </sheetData>
  <autoFilter ref="A1:S16"/>
  <conditionalFormatting sqref="M2:M16">
    <cfRule type="cellIs" priority="2" operator="equal" aboveAverage="0" equalAverage="0" bottom="0" percent="0" rank="0" text="" dxfId="10">
      <formula>"Critical"</formula>
    </cfRule>
    <cfRule type="cellIs" priority="3" operator="equal" aboveAverage="0" equalAverage="0" bottom="0" percent="0" rank="0" text="" dxfId="11">
      <formula>"High"</formula>
    </cfRule>
    <cfRule type="cellIs" priority="4" operator="equal" aboveAverage="0" equalAverage="0" bottom="0" percent="0" rank="0" text="" dxfId="12">
      <formula>"Medium"</formula>
    </cfRule>
    <cfRule type="cellIs" priority="5" operator="equal" aboveAverage="0" equalAverage="0" bottom="0" percent="0" rank="0" text="" dxfId="13">
      <formula>"Low"</formula>
    </cfRule>
  </conditionalFormatting>
  <conditionalFormatting sqref="N2:N16">
    <cfRule type="cellIs" priority="6" operator="equal" aboveAverage="0" equalAverage="0" bottom="0" percent="0" rank="0" text="" dxfId="10">
      <formula>"Critical"</formula>
    </cfRule>
    <cfRule type="cellIs" priority="7" operator="equal" aboveAverage="0" equalAverage="0" bottom="0" percent="0" rank="0" text="" dxfId="11">
      <formula>"High"</formula>
    </cfRule>
    <cfRule type="cellIs" priority="8" operator="equal" aboveAverage="0" equalAverage="0" bottom="0" percent="0" rank="0" text="" dxfId="12">
      <formula>"Medium"</formula>
    </cfRule>
    <cfRule type="cellIs" priority="9" operator="equal" aboveAverage="0" equalAverage="0" bottom="0" percent="0" rank="0" text="" dxfId="13">
      <formula>"Low"</formula>
    </cfRule>
  </conditionalFormatting>
  <conditionalFormatting sqref="F2:F16">
    <cfRule type="cellIs" priority="10" operator="greaterThanOrEqual" aboveAverage="0" equalAverage="0" bottom="0" percent="0" rank="0" text="" dxfId="10">
      <formula>15</formula>
    </cfRule>
    <cfRule type="cellIs" priority="11" operator="between" aboveAverage="0" equalAverage="0" bottom="0" percent="0" rank="0" text="" dxfId="11">
      <formula>10</formula>
      <formula>14</formula>
    </cfRule>
    <cfRule type="cellIs" priority="12" operator="between" aboveAverage="0" equalAverage="0" bottom="0" percent="0" rank="0" text="" dxfId="12">
      <formula>5</formula>
      <formula>9</formula>
    </cfRule>
    <cfRule type="cellIs" priority="13" operator="between" aboveAverage="0" equalAverage="0" bottom="0" percent="0" rank="0" text="" dxfId="13">
      <formula>1</formula>
      <formula>4</formula>
    </cfRule>
  </conditionalFormatting>
  <conditionalFormatting sqref="J2:J16">
    <cfRule type="cellIs" priority="14" operator="greaterThanOrEqual" aboveAverage="0" equalAverage="0" bottom="0" percent="0" rank="0" text="" dxfId="10">
      <formula>15</formula>
    </cfRule>
    <cfRule type="cellIs" priority="15" operator="between" aboveAverage="0" equalAverage="0" bottom="0" percent="0" rank="0" text="" dxfId="11">
      <formula>10</formula>
      <formula>14</formula>
    </cfRule>
    <cfRule type="cellIs" priority="16" operator="between" aboveAverage="0" equalAverage="0" bottom="0" percent="0" rank="0" text="" dxfId="12">
      <formula>5</formula>
      <formula>9</formula>
    </cfRule>
    <cfRule type="cellIs" priority="17" operator="between" aboveAverage="0" equalAverage="0" bottom="0" percent="0" rank="0" text="" dxfId="13">
      <formula>1</formula>
      <formula>4</formula>
    </cfRule>
  </conditionalFormatting>
  <dataValidations count="3">
    <dataValidation allowBlank="true" error="Likelihood and Impact must be a whole number 1 to 5." errorStyle="stop" errorTitle="Score out of range" operator="between" showDropDown="false" showErrorMessage="false" showInputMessage="false" sqref="D2:E16 H2:I16" type="list">
      <formula1>"1,2,3,4,5"</formula1>
      <formula2>0</formula2>
    </dataValidation>
    <dataValidation allowBlank="true" errorStyle="stop" operator="between" showDropDown="false" showErrorMessage="false" showInputMessage="false" sqref="K2:K16" type="list">
      <formula1>"Mitigate,Transfer,Avoid,Accept,Mitigate + Transfer,Mitigate + Accept"</formula1>
      <formula2>0</formula2>
    </dataValidation>
    <dataValidation allowBlank="true" errorStyle="stop" operator="between" showDropDown="false" showErrorMessage="false" showInputMessage="false" sqref="R2:R16" type="list">
      <formula1>"Open,In Treatment,Monitoring,Accepted,Closed"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78"/>
    <col collapsed="false" customWidth="true" hidden="false" outlineLevel="0" max="3" min="3" style="0" width="62"/>
    <col collapsed="false" customWidth="true" hidden="false" outlineLevel="0" max="4" min="4" style="0" width="32"/>
    <col collapsed="false" customWidth="true" hidden="false" outlineLevel="0" max="5" min="5" style="0" width="34"/>
    <col collapsed="false" customWidth="true" hidden="false" outlineLevel="0" max="6" min="6" style="0" width="32"/>
    <col collapsed="false" customWidth="true" hidden="false" outlineLevel="0" max="7" min="7" style="0" width="40"/>
  </cols>
  <sheetData>
    <row r="1" customFormat="false" ht="17.35" hidden="false" customHeight="false" outlineLevel="0" collapsed="false">
      <c r="A1" s="1" t="s">
        <v>123</v>
      </c>
    </row>
    <row r="2" customFormat="false" ht="15" hidden="false" customHeight="false" outlineLevel="0" collapsed="false">
      <c r="A2" s="2" t="s">
        <v>124</v>
      </c>
    </row>
    <row r="4" customFormat="false" ht="15" hidden="false" customHeight="false" outlineLevel="0" collapsed="false">
      <c r="A4" s="5" t="s">
        <v>125</v>
      </c>
    </row>
    <row r="5" customFormat="false" ht="15" hidden="false" customHeight="false" outlineLevel="0" collapsed="false">
      <c r="A5" s="10" t="s">
        <v>126</v>
      </c>
      <c r="B5" s="10" t="s">
        <v>127</v>
      </c>
      <c r="C5" s="10" t="s">
        <v>128</v>
      </c>
      <c r="D5" s="10" t="s">
        <v>129</v>
      </c>
      <c r="E5" s="10" t="s">
        <v>130</v>
      </c>
    </row>
    <row r="6" customFormat="false" ht="31.5" hidden="false" customHeight="true" outlineLevel="0" collapsed="false">
      <c r="A6" s="11" t="n">
        <v>1</v>
      </c>
      <c r="B6" s="11" t="s">
        <v>131</v>
      </c>
      <c r="C6" s="11" t="s">
        <v>132</v>
      </c>
      <c r="D6" s="12" t="s">
        <v>133</v>
      </c>
      <c r="E6" s="12" t="s">
        <v>134</v>
      </c>
    </row>
    <row r="7" customFormat="false" ht="31.5" hidden="false" customHeight="true" outlineLevel="0" collapsed="false">
      <c r="A7" s="11" t="n">
        <v>2</v>
      </c>
      <c r="B7" s="11" t="s">
        <v>135</v>
      </c>
      <c r="C7" s="11" t="s">
        <v>136</v>
      </c>
      <c r="D7" s="12" t="s">
        <v>137</v>
      </c>
      <c r="E7" s="12" t="s">
        <v>138</v>
      </c>
    </row>
    <row r="8" customFormat="false" ht="31.5" hidden="false" customHeight="true" outlineLevel="0" collapsed="false">
      <c r="A8" s="11" t="n">
        <v>3</v>
      </c>
      <c r="B8" s="11" t="s">
        <v>139</v>
      </c>
      <c r="C8" s="11" t="s">
        <v>140</v>
      </c>
      <c r="D8" s="12" t="s">
        <v>141</v>
      </c>
      <c r="E8" s="12" t="s">
        <v>142</v>
      </c>
    </row>
    <row r="9" customFormat="false" ht="31.5" hidden="false" customHeight="true" outlineLevel="0" collapsed="false">
      <c r="A9" s="11" t="n">
        <v>4</v>
      </c>
      <c r="B9" s="11" t="s">
        <v>143</v>
      </c>
      <c r="C9" s="11" t="s">
        <v>144</v>
      </c>
      <c r="D9" s="12" t="s">
        <v>145</v>
      </c>
      <c r="E9" s="12" t="s">
        <v>146</v>
      </c>
    </row>
    <row r="10" customFormat="false" ht="31.5" hidden="false" customHeight="true" outlineLevel="0" collapsed="false">
      <c r="A10" s="11" t="n">
        <v>5</v>
      </c>
      <c r="B10" s="11" t="s">
        <v>147</v>
      </c>
      <c r="C10" s="11" t="s">
        <v>148</v>
      </c>
      <c r="D10" s="12" t="s">
        <v>149</v>
      </c>
      <c r="E10" s="12" t="s">
        <v>150</v>
      </c>
    </row>
    <row r="12" customFormat="false" ht="15" hidden="false" customHeight="false" outlineLevel="0" collapsed="false">
      <c r="A12" s="5" t="s">
        <v>151</v>
      </c>
    </row>
    <row r="13" customFormat="false" ht="15" hidden="false" customHeight="false" outlineLevel="0" collapsed="false">
      <c r="A13" s="10" t="s">
        <v>126</v>
      </c>
      <c r="B13" s="10" t="s">
        <v>127</v>
      </c>
      <c r="C13" s="10" t="s">
        <v>152</v>
      </c>
      <c r="D13" s="10" t="s">
        <v>153</v>
      </c>
      <c r="E13" s="10" t="s">
        <v>154</v>
      </c>
      <c r="F13" s="10" t="s">
        <v>155</v>
      </c>
      <c r="G13" s="10" t="s">
        <v>156</v>
      </c>
    </row>
    <row r="14" customFormat="false" ht="48" hidden="false" customHeight="true" outlineLevel="0" collapsed="false">
      <c r="A14" s="11" t="n">
        <v>1</v>
      </c>
      <c r="B14" s="11" t="s">
        <v>157</v>
      </c>
      <c r="C14" s="12" t="s">
        <v>158</v>
      </c>
      <c r="D14" s="12" t="s">
        <v>159</v>
      </c>
      <c r="E14" s="12" t="s">
        <v>160</v>
      </c>
      <c r="F14" s="12" t="s">
        <v>161</v>
      </c>
      <c r="G14" s="12" t="s">
        <v>162</v>
      </c>
    </row>
    <row r="15" customFormat="false" ht="48" hidden="false" customHeight="true" outlineLevel="0" collapsed="false">
      <c r="A15" s="11" t="n">
        <v>2</v>
      </c>
      <c r="B15" s="11" t="s">
        <v>163</v>
      </c>
      <c r="C15" s="12" t="s">
        <v>164</v>
      </c>
      <c r="D15" s="12" t="s">
        <v>165</v>
      </c>
      <c r="E15" s="12" t="s">
        <v>166</v>
      </c>
      <c r="F15" s="12" t="s">
        <v>167</v>
      </c>
      <c r="G15" s="12" t="s">
        <v>168</v>
      </c>
    </row>
    <row r="16" customFormat="false" ht="48" hidden="false" customHeight="true" outlineLevel="0" collapsed="false">
      <c r="A16" s="11" t="n">
        <v>3</v>
      </c>
      <c r="B16" s="11" t="s">
        <v>169</v>
      </c>
      <c r="C16" s="12" t="s">
        <v>170</v>
      </c>
      <c r="D16" s="12" t="s">
        <v>171</v>
      </c>
      <c r="E16" s="12" t="s">
        <v>172</v>
      </c>
      <c r="F16" s="12" t="s">
        <v>173</v>
      </c>
      <c r="G16" s="12" t="s">
        <v>174</v>
      </c>
    </row>
    <row r="17" customFormat="false" ht="48" hidden="false" customHeight="true" outlineLevel="0" collapsed="false">
      <c r="A17" s="11" t="n">
        <v>4</v>
      </c>
      <c r="B17" s="11" t="s">
        <v>175</v>
      </c>
      <c r="C17" s="12" t="s">
        <v>176</v>
      </c>
      <c r="D17" s="12" t="s">
        <v>177</v>
      </c>
      <c r="E17" s="12" t="s">
        <v>178</v>
      </c>
      <c r="F17" s="12" t="s">
        <v>179</v>
      </c>
      <c r="G17" s="12" t="s">
        <v>180</v>
      </c>
    </row>
    <row r="18" customFormat="false" ht="48" hidden="false" customHeight="true" outlineLevel="0" collapsed="false">
      <c r="A18" s="11" t="n">
        <v>5</v>
      </c>
      <c r="B18" s="11" t="s">
        <v>181</v>
      </c>
      <c r="C18" s="12" t="s">
        <v>182</v>
      </c>
      <c r="D18" s="12" t="s">
        <v>183</v>
      </c>
      <c r="E18" s="12" t="s">
        <v>184</v>
      </c>
      <c r="F18" s="12" t="s">
        <v>185</v>
      </c>
      <c r="G18" s="12" t="s">
        <v>186</v>
      </c>
    </row>
    <row r="20" customFormat="false" ht="15" hidden="false" customHeight="false" outlineLevel="0" collapsed="false">
      <c r="A20" s="5" t="s">
        <v>187</v>
      </c>
    </row>
    <row r="21" customFormat="false" ht="15" hidden="false" customHeight="false" outlineLevel="0" collapsed="false">
      <c r="A21" s="10" t="s">
        <v>188</v>
      </c>
      <c r="B21" s="10" t="s">
        <v>189</v>
      </c>
      <c r="C21" s="10" t="s">
        <v>190</v>
      </c>
      <c r="D21" s="10" t="s">
        <v>191</v>
      </c>
      <c r="E21" s="10" t="s">
        <v>192</v>
      </c>
    </row>
    <row r="22" customFormat="false" ht="30" hidden="false" customHeight="true" outlineLevel="0" collapsed="false">
      <c r="A22" s="11" t="s">
        <v>193</v>
      </c>
      <c r="B22" s="11" t="s">
        <v>194</v>
      </c>
      <c r="C22" s="12" t="s">
        <v>195</v>
      </c>
      <c r="D22" s="11" t="s">
        <v>196</v>
      </c>
      <c r="E22" s="11" t="s">
        <v>197</v>
      </c>
    </row>
    <row r="23" customFormat="false" ht="30" hidden="false" customHeight="true" outlineLevel="0" collapsed="false">
      <c r="A23" s="11" t="s">
        <v>198</v>
      </c>
      <c r="B23" s="11" t="s">
        <v>199</v>
      </c>
      <c r="C23" s="12" t="s">
        <v>200</v>
      </c>
      <c r="D23" s="11" t="s">
        <v>201</v>
      </c>
      <c r="E23" s="11" t="s">
        <v>202</v>
      </c>
    </row>
    <row r="24" customFormat="false" ht="30" hidden="false" customHeight="true" outlineLevel="0" collapsed="false">
      <c r="A24" s="11" t="s">
        <v>203</v>
      </c>
      <c r="B24" s="11" t="s">
        <v>204</v>
      </c>
      <c r="C24" s="12" t="s">
        <v>205</v>
      </c>
      <c r="D24" s="11" t="s">
        <v>206</v>
      </c>
      <c r="E24" s="11" t="s">
        <v>207</v>
      </c>
    </row>
    <row r="25" customFormat="false" ht="30" hidden="false" customHeight="true" outlineLevel="0" collapsed="false">
      <c r="A25" s="11" t="s">
        <v>208</v>
      </c>
      <c r="B25" s="11" t="s">
        <v>209</v>
      </c>
      <c r="C25" s="12" t="s">
        <v>210</v>
      </c>
      <c r="D25" s="11" t="s">
        <v>211</v>
      </c>
      <c r="E25" s="11" t="s">
        <v>212</v>
      </c>
    </row>
    <row r="27" customFormat="false" ht="15" hidden="false" customHeight="false" outlineLevel="0" collapsed="false">
      <c r="A27" s="5" t="s">
        <v>213</v>
      </c>
    </row>
    <row r="28" customFormat="false" ht="15" hidden="false" customHeight="false" outlineLevel="0" collapsed="false">
      <c r="A28" s="10" t="s">
        <v>214</v>
      </c>
      <c r="B28" s="10" t="s">
        <v>215</v>
      </c>
      <c r="C28" s="10" t="s">
        <v>216</v>
      </c>
    </row>
    <row r="29" customFormat="false" ht="42" hidden="false" customHeight="true" outlineLevel="0" collapsed="false">
      <c r="A29" s="11" t="s">
        <v>118</v>
      </c>
      <c r="B29" s="12" t="s">
        <v>217</v>
      </c>
      <c r="C29" s="12" t="s">
        <v>218</v>
      </c>
    </row>
    <row r="30" customFormat="false" ht="42" hidden="false" customHeight="true" outlineLevel="0" collapsed="false">
      <c r="A30" s="11" t="s">
        <v>219</v>
      </c>
      <c r="B30" s="12" t="s">
        <v>220</v>
      </c>
      <c r="C30" s="12" t="s">
        <v>221</v>
      </c>
    </row>
    <row r="31" customFormat="false" ht="42" hidden="false" customHeight="true" outlineLevel="0" collapsed="false">
      <c r="A31" s="11" t="s">
        <v>222</v>
      </c>
      <c r="B31" s="12" t="s">
        <v>223</v>
      </c>
      <c r="C31" s="12" t="s">
        <v>224</v>
      </c>
    </row>
    <row r="32" customFormat="false" ht="42" hidden="false" customHeight="true" outlineLevel="0" collapsed="false">
      <c r="A32" s="11" t="s">
        <v>225</v>
      </c>
      <c r="B32" s="12" t="s">
        <v>226</v>
      </c>
      <c r="C32" s="12" t="s">
        <v>227</v>
      </c>
    </row>
    <row r="34" customFormat="false" ht="15" hidden="false" customHeight="false" outlineLevel="0" collapsed="false">
      <c r="A34" s="2" t="s">
        <v>228</v>
      </c>
    </row>
    <row r="35" customFormat="false" ht="15" hidden="false" customHeight="false" outlineLevel="0" collapsed="false">
      <c r="A35" s="2" t="s">
        <v>229</v>
      </c>
    </row>
    <row r="36" customFormat="false" ht="15" hidden="false" customHeight="false" outlineLevel="0" collapsed="false">
      <c r="A36" s="2" t="s">
        <v>230</v>
      </c>
    </row>
    <row r="37" customFormat="false" ht="15" hidden="false" customHeight="false" outlineLevel="0" collapsed="false">
      <c r="A37" s="2"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4"/>
    <col collapsed="false" customWidth="true" hidden="false" outlineLevel="0" max="4" min="4" style="0" width="10"/>
    <col collapsed="false" customWidth="true" hidden="false" outlineLevel="0" max="5" min="5" style="0" width="14"/>
    <col collapsed="false" customWidth="true" hidden="false" outlineLevel="0" max="6" min="6" style="0" width="11"/>
    <col collapsed="false" customWidth="true" hidden="false" outlineLevel="0" max="7" min="7" style="0" width="30"/>
    <col collapsed="false" customWidth="true" hidden="false" outlineLevel="0" max="8" min="8" style="0" width="110"/>
  </cols>
  <sheetData>
    <row r="1" customFormat="false" ht="17.35" hidden="false" customHeight="false" outlineLevel="0" collapsed="false">
      <c r="A1" s="1" t="s">
        <v>232</v>
      </c>
    </row>
    <row r="2" customFormat="false" ht="15" hidden="false" customHeight="false" outlineLevel="0" collapsed="false">
      <c r="A2" s="2" t="s">
        <v>233</v>
      </c>
    </row>
    <row r="4" customFormat="false" ht="23.85" hidden="false" customHeight="false" outlineLevel="0" collapsed="false">
      <c r="A4" s="10" t="s">
        <v>95</v>
      </c>
      <c r="B4" s="10" t="s">
        <v>234</v>
      </c>
      <c r="C4" s="10" t="s">
        <v>235</v>
      </c>
      <c r="D4" s="10" t="s">
        <v>236</v>
      </c>
      <c r="E4" s="10" t="s">
        <v>237</v>
      </c>
      <c r="F4" s="10" t="s">
        <v>238</v>
      </c>
      <c r="G4" s="10" t="s">
        <v>239</v>
      </c>
      <c r="H4" s="10" t="s">
        <v>240</v>
      </c>
    </row>
    <row r="5" customFormat="false" ht="150" hidden="false" customHeight="true" outlineLevel="0" collapsed="false">
      <c r="A5" s="11" t="s">
        <v>114</v>
      </c>
      <c r="B5" s="11" t="s">
        <v>241</v>
      </c>
      <c r="C5" s="11" t="s">
        <v>242</v>
      </c>
      <c r="D5" s="11" t="s">
        <v>241</v>
      </c>
      <c r="E5" s="11" t="s">
        <v>242</v>
      </c>
      <c r="F5" s="11" t="s">
        <v>243</v>
      </c>
      <c r="G5" s="11" t="s">
        <v>120</v>
      </c>
      <c r="H5" s="12" t="s">
        <v>244</v>
      </c>
    </row>
    <row r="6" customFormat="false" ht="150" hidden="false" customHeight="true" outlineLevel="0" collapsed="false">
      <c r="A6" s="11" t="s">
        <v>114</v>
      </c>
      <c r="B6" s="11" t="s">
        <v>241</v>
      </c>
      <c r="C6" s="11" t="s">
        <v>242</v>
      </c>
      <c r="D6" s="11" t="s">
        <v>241</v>
      </c>
      <c r="E6" s="11" t="s">
        <v>242</v>
      </c>
      <c r="F6" s="11" t="s">
        <v>243</v>
      </c>
      <c r="G6" s="11" t="s">
        <v>120</v>
      </c>
      <c r="H6" s="12" t="s">
        <v>244</v>
      </c>
    </row>
    <row r="7" customFormat="false" ht="150" hidden="false" customHeight="true" outlineLevel="0" collapsed="false">
      <c r="A7" s="11" t="s">
        <v>114</v>
      </c>
      <c r="B7" s="11" t="s">
        <v>241</v>
      </c>
      <c r="C7" s="11" t="s">
        <v>242</v>
      </c>
      <c r="D7" s="11" t="s">
        <v>241</v>
      </c>
      <c r="E7" s="11" t="s">
        <v>242</v>
      </c>
      <c r="F7" s="11" t="s">
        <v>243</v>
      </c>
      <c r="G7" s="11" t="s">
        <v>120</v>
      </c>
      <c r="H7" s="12" t="s">
        <v>244</v>
      </c>
    </row>
    <row r="8" customFormat="false" ht="150" hidden="false" customHeight="true" outlineLevel="0" collapsed="false">
      <c r="A8" s="11" t="s">
        <v>114</v>
      </c>
      <c r="B8" s="11" t="s">
        <v>241</v>
      </c>
      <c r="C8" s="11" t="s">
        <v>242</v>
      </c>
      <c r="D8" s="11" t="s">
        <v>241</v>
      </c>
      <c r="E8" s="11" t="s">
        <v>242</v>
      </c>
      <c r="F8" s="11" t="s">
        <v>243</v>
      </c>
      <c r="G8" s="11" t="s">
        <v>120</v>
      </c>
      <c r="H8" s="12" t="s">
        <v>244</v>
      </c>
    </row>
    <row r="9" customFormat="false" ht="150" hidden="false" customHeight="true" outlineLevel="0" collapsed="false">
      <c r="A9" s="11" t="s">
        <v>114</v>
      </c>
      <c r="B9" s="11" t="s">
        <v>241</v>
      </c>
      <c r="C9" s="11" t="s">
        <v>242</v>
      </c>
      <c r="D9" s="11" t="s">
        <v>241</v>
      </c>
      <c r="E9" s="11" t="s">
        <v>242</v>
      </c>
      <c r="F9" s="11" t="s">
        <v>243</v>
      </c>
      <c r="G9" s="11" t="s">
        <v>120</v>
      </c>
      <c r="H9" s="12" t="s">
        <v>244</v>
      </c>
    </row>
    <row r="11" customFormat="false" ht="15" hidden="false" customHeight="false" outlineLevel="0" collapsed="false">
      <c r="A11" s="5" t="s">
        <v>245</v>
      </c>
    </row>
    <row r="12" customFormat="false" ht="15" hidden="false" customHeight="true" outlineLevel="0" collapsed="false">
      <c r="A12" s="19" t="s">
        <v>246</v>
      </c>
      <c r="B12" s="19"/>
      <c r="C12" s="19"/>
      <c r="D12" s="19"/>
      <c r="E12" s="19"/>
      <c r="F12" s="19"/>
      <c r="G12" s="19"/>
      <c r="H12" s="19"/>
    </row>
    <row r="13" customFormat="false" ht="15" hidden="false" customHeight="false" outlineLevel="0" collapsed="false">
      <c r="A13" s="19"/>
      <c r="B13" s="19"/>
      <c r="C13" s="19"/>
      <c r="D13" s="19"/>
      <c r="E13" s="19"/>
      <c r="F13" s="19"/>
      <c r="G13" s="19"/>
      <c r="H13" s="19"/>
    </row>
    <row r="14" customFormat="false" ht="15" hidden="false" customHeight="false" outlineLevel="0" collapsed="false">
      <c r="A14" s="19"/>
      <c r="B14" s="19"/>
      <c r="C14" s="19"/>
      <c r="D14" s="19"/>
      <c r="E14" s="19"/>
      <c r="F14" s="19"/>
      <c r="G14" s="19"/>
      <c r="H14" s="19"/>
    </row>
    <row r="15" customFormat="false" ht="15" hidden="false" customHeight="false" outlineLevel="0" collapsed="false">
      <c r="A15" s="19"/>
      <c r="B15" s="19"/>
      <c r="C15" s="19"/>
      <c r="D15" s="19"/>
      <c r="E15" s="19"/>
      <c r="F15" s="19"/>
      <c r="G15" s="19"/>
      <c r="H15" s="19"/>
    </row>
    <row r="16" customFormat="false" ht="15" hidden="false" customHeight="false" outlineLevel="0" collapsed="false">
      <c r="A16" s="19"/>
      <c r="B16" s="19"/>
      <c r="C16" s="19"/>
      <c r="D16" s="19"/>
      <c r="E16" s="19"/>
      <c r="F16" s="19"/>
      <c r="G16" s="19"/>
      <c r="H16" s="19"/>
    </row>
  </sheetData>
  <mergeCells count="1">
    <mergeCell ref="A12: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8"/>
    <col collapsed="false" customWidth="true" hidden="false" outlineLevel="0" max="4" min="4" style="0" width="74"/>
    <col collapsed="false" customWidth="true" hidden="false" outlineLevel="0" max="5" min="5" style="0" width="20"/>
    <col collapsed="false" customWidth="true" hidden="false" outlineLevel="0" max="6" min="6" style="0" width="32"/>
    <col collapsed="false" customWidth="true" hidden="false" outlineLevel="0" max="7" min="7" style="0" width="15"/>
    <col collapsed="false" customWidth="true" hidden="false" outlineLevel="0" max="8" min="8" style="0" width="28"/>
    <col collapsed="false" customWidth="true" hidden="false" outlineLevel="0" max="9" min="9" style="0" width="17"/>
    <col collapsed="false" customWidth="true" hidden="false" outlineLevel="0" max="10" min="10" style="0" width="15"/>
  </cols>
  <sheetData>
    <row r="1" customFormat="false" ht="17.35" hidden="false" customHeight="false" outlineLevel="0" collapsed="false">
      <c r="A1" s="1" t="s">
        <v>247</v>
      </c>
    </row>
    <row r="2" customFormat="false" ht="15" hidden="false" customHeight="false" outlineLevel="0" collapsed="false">
      <c r="A2" s="2" t="s">
        <v>248</v>
      </c>
    </row>
    <row r="4" customFormat="false" ht="23.85" hidden="false" customHeight="false" outlineLevel="0" collapsed="false">
      <c r="A4" s="10" t="s">
        <v>249</v>
      </c>
      <c r="B4" s="10" t="s">
        <v>95</v>
      </c>
      <c r="C4" s="10" t="s">
        <v>214</v>
      </c>
      <c r="D4" s="10" t="s">
        <v>250</v>
      </c>
      <c r="E4" s="10" t="s">
        <v>251</v>
      </c>
      <c r="F4" s="10" t="s">
        <v>252</v>
      </c>
      <c r="G4" s="10" t="s">
        <v>253</v>
      </c>
      <c r="H4" s="10" t="s">
        <v>254</v>
      </c>
      <c r="I4" s="10" t="s">
        <v>255</v>
      </c>
      <c r="J4" s="10" t="s">
        <v>256</v>
      </c>
    </row>
    <row r="5" customFormat="false" ht="63.75" hidden="false" customHeight="true" outlineLevel="0" collapsed="false">
      <c r="A5" s="11" t="s">
        <v>257</v>
      </c>
      <c r="B5" s="11" t="s">
        <v>258</v>
      </c>
      <c r="C5" s="11" t="s">
        <v>259</v>
      </c>
      <c r="D5" s="12" t="s">
        <v>260</v>
      </c>
      <c r="E5" s="11" t="s">
        <v>261</v>
      </c>
      <c r="F5" s="12" t="s">
        <v>262</v>
      </c>
      <c r="G5" s="20" t="n">
        <v>0</v>
      </c>
      <c r="H5" s="11" t="s">
        <v>263</v>
      </c>
      <c r="I5" s="11" t="s">
        <v>121</v>
      </c>
      <c r="J5" s="21" t="n">
        <v>0</v>
      </c>
    </row>
    <row r="6" customFormat="false" ht="63.75" hidden="false" customHeight="true" outlineLevel="0" collapsed="false">
      <c r="A6" s="11" t="s">
        <v>257</v>
      </c>
      <c r="B6" s="11" t="s">
        <v>258</v>
      </c>
      <c r="C6" s="11" t="s">
        <v>259</v>
      </c>
      <c r="D6" s="12" t="s">
        <v>260</v>
      </c>
      <c r="E6" s="11" t="s">
        <v>261</v>
      </c>
      <c r="F6" s="12" t="s">
        <v>262</v>
      </c>
      <c r="G6" s="20" t="n">
        <v>0</v>
      </c>
      <c r="H6" s="11" t="s">
        <v>263</v>
      </c>
      <c r="I6" s="11" t="s">
        <v>121</v>
      </c>
      <c r="J6" s="21" t="n">
        <v>0</v>
      </c>
    </row>
    <row r="7" customFormat="false" ht="63.75" hidden="false" customHeight="true" outlineLevel="0" collapsed="false">
      <c r="A7" s="11" t="s">
        <v>257</v>
      </c>
      <c r="B7" s="11" t="s">
        <v>258</v>
      </c>
      <c r="C7" s="11" t="s">
        <v>259</v>
      </c>
      <c r="D7" s="12" t="s">
        <v>260</v>
      </c>
      <c r="E7" s="11" t="s">
        <v>261</v>
      </c>
      <c r="F7" s="12" t="s">
        <v>262</v>
      </c>
      <c r="G7" s="20" t="n">
        <v>0</v>
      </c>
      <c r="H7" s="11" t="s">
        <v>263</v>
      </c>
      <c r="I7" s="11" t="s">
        <v>121</v>
      </c>
      <c r="J7" s="21" t="n">
        <v>0</v>
      </c>
    </row>
    <row r="8" customFormat="false" ht="63.75" hidden="false" customHeight="true" outlineLevel="0" collapsed="false">
      <c r="A8" s="11" t="s">
        <v>257</v>
      </c>
      <c r="B8" s="11" t="s">
        <v>258</v>
      </c>
      <c r="C8" s="11" t="s">
        <v>259</v>
      </c>
      <c r="D8" s="12" t="s">
        <v>260</v>
      </c>
      <c r="E8" s="11" t="s">
        <v>261</v>
      </c>
      <c r="F8" s="12" t="s">
        <v>262</v>
      </c>
      <c r="G8" s="20" t="n">
        <v>0</v>
      </c>
      <c r="H8" s="11" t="s">
        <v>263</v>
      </c>
      <c r="I8" s="11" t="s">
        <v>121</v>
      </c>
      <c r="J8" s="21" t="n">
        <v>0</v>
      </c>
    </row>
    <row r="9" customFormat="false" ht="63.75" hidden="false" customHeight="true" outlineLevel="0" collapsed="false">
      <c r="A9" s="11" t="s">
        <v>257</v>
      </c>
      <c r="B9" s="11" t="s">
        <v>258</v>
      </c>
      <c r="C9" s="11" t="s">
        <v>259</v>
      </c>
      <c r="D9" s="12" t="s">
        <v>260</v>
      </c>
      <c r="E9" s="11" t="s">
        <v>261</v>
      </c>
      <c r="F9" s="12" t="s">
        <v>262</v>
      </c>
      <c r="G9" s="20" t="n">
        <v>0</v>
      </c>
      <c r="H9" s="11" t="s">
        <v>263</v>
      </c>
      <c r="I9" s="11" t="s">
        <v>121</v>
      </c>
      <c r="J9" s="21" t="n">
        <v>0</v>
      </c>
    </row>
    <row r="10" customFormat="false" ht="63.75" hidden="false" customHeight="true" outlineLevel="0" collapsed="false">
      <c r="A10" s="11" t="s">
        <v>257</v>
      </c>
      <c r="B10" s="11" t="s">
        <v>258</v>
      </c>
      <c r="C10" s="11" t="s">
        <v>259</v>
      </c>
      <c r="D10" s="12" t="s">
        <v>260</v>
      </c>
      <c r="E10" s="11" t="s">
        <v>261</v>
      </c>
      <c r="F10" s="12" t="s">
        <v>262</v>
      </c>
      <c r="G10" s="20" t="n">
        <v>0</v>
      </c>
      <c r="H10" s="11" t="s">
        <v>263</v>
      </c>
      <c r="I10" s="11" t="s">
        <v>121</v>
      </c>
      <c r="J10" s="21" t="n">
        <v>0</v>
      </c>
    </row>
    <row r="11" customFormat="false" ht="63.75" hidden="false" customHeight="true" outlineLevel="0" collapsed="false">
      <c r="A11" s="11" t="s">
        <v>257</v>
      </c>
      <c r="B11" s="11" t="s">
        <v>258</v>
      </c>
      <c r="C11" s="11" t="s">
        <v>259</v>
      </c>
      <c r="D11" s="12" t="s">
        <v>260</v>
      </c>
      <c r="E11" s="11" t="s">
        <v>261</v>
      </c>
      <c r="F11" s="12" t="s">
        <v>262</v>
      </c>
      <c r="G11" s="20" t="n">
        <v>0</v>
      </c>
      <c r="H11" s="11" t="s">
        <v>263</v>
      </c>
      <c r="I11" s="11" t="s">
        <v>121</v>
      </c>
      <c r="J11" s="21" t="n">
        <v>0</v>
      </c>
    </row>
    <row r="12" customFormat="false" ht="63.75" hidden="false" customHeight="true" outlineLevel="0" collapsed="false">
      <c r="A12" s="11" t="s">
        <v>257</v>
      </c>
      <c r="B12" s="11" t="s">
        <v>258</v>
      </c>
      <c r="C12" s="11" t="s">
        <v>259</v>
      </c>
      <c r="D12" s="12" t="s">
        <v>260</v>
      </c>
      <c r="E12" s="11" t="s">
        <v>261</v>
      </c>
      <c r="F12" s="12" t="s">
        <v>262</v>
      </c>
      <c r="G12" s="20" t="n">
        <v>0</v>
      </c>
      <c r="H12" s="11" t="s">
        <v>263</v>
      </c>
      <c r="I12" s="11" t="s">
        <v>121</v>
      </c>
      <c r="J12" s="21" t="n">
        <v>0</v>
      </c>
    </row>
    <row r="13" customFormat="false" ht="15" hidden="false" customHeight="false" outlineLevel="0" collapsed="false">
      <c r="F13" s="22" t="s">
        <v>264</v>
      </c>
      <c r="G13" s="23" t="n">
        <f aca="false">SUM(G5:G12)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70"/>
    <col collapsed="false" customWidth="true" hidden="false" outlineLevel="0" max="4" min="4" style="0" width="24"/>
    <col collapsed="false" customWidth="true" hidden="false" outlineLevel="0" max="5" min="5" style="0" width="48"/>
    <col collapsed="false" customWidth="true" hidden="false" outlineLevel="0" max="6" min="6" style="0" width="44"/>
    <col collapsed="false" customWidth="true" hidden="false" outlineLevel="0" max="8" min="7" style="0" width="14"/>
    <col collapsed="false" customWidth="true" hidden="false" outlineLevel="0" max="9" min="9" style="0" width="34"/>
  </cols>
  <sheetData>
    <row r="1" customFormat="false" ht="17.35" hidden="false" customHeight="false" outlineLevel="0" collapsed="false">
      <c r="A1" s="1" t="s">
        <v>265</v>
      </c>
    </row>
    <row r="2" customFormat="false" ht="15" hidden="false" customHeight="false" outlineLevel="0" collapsed="false">
      <c r="A2" s="2" t="s">
        <v>266</v>
      </c>
    </row>
    <row r="4" customFormat="false" ht="15" hidden="false" customHeight="false" outlineLevel="0" collapsed="false">
      <c r="A4" s="5" t="s">
        <v>267</v>
      </c>
    </row>
    <row r="5" customFormat="false" ht="15" hidden="false" customHeight="false" outlineLevel="0" collapsed="false">
      <c r="A5" s="10" t="s">
        <v>268</v>
      </c>
      <c r="B5" s="10" t="s">
        <v>269</v>
      </c>
      <c r="C5" s="10" t="s">
        <v>270</v>
      </c>
      <c r="D5" s="10" t="s">
        <v>271</v>
      </c>
      <c r="E5" s="10" t="s">
        <v>272</v>
      </c>
      <c r="F5" s="10" t="s">
        <v>273</v>
      </c>
      <c r="G5" s="10" t="s">
        <v>66</v>
      </c>
      <c r="H5" s="10" t="s">
        <v>274</v>
      </c>
      <c r="I5" s="10" t="s">
        <v>275</v>
      </c>
    </row>
    <row r="6" customFormat="false" ht="90" hidden="false" customHeight="true" outlineLevel="0" collapsed="false">
      <c r="A6" s="11" t="s">
        <v>276</v>
      </c>
      <c r="B6" s="11" t="s">
        <v>258</v>
      </c>
      <c r="C6" s="12" t="s">
        <v>277</v>
      </c>
      <c r="D6" s="12" t="s">
        <v>278</v>
      </c>
      <c r="E6" s="12" t="s">
        <v>279</v>
      </c>
      <c r="F6" s="12" t="s">
        <v>280</v>
      </c>
      <c r="G6" s="11" t="s">
        <v>121</v>
      </c>
      <c r="H6" s="11" t="s">
        <v>281</v>
      </c>
      <c r="I6" s="12" t="s">
        <v>282</v>
      </c>
    </row>
    <row r="8" customFormat="false" ht="15" hidden="false" customHeight="false" outlineLevel="0" collapsed="false">
      <c r="A8" s="5" t="s">
        <v>283</v>
      </c>
    </row>
    <row r="9" customFormat="false" ht="15" hidden="false" customHeight="false" outlineLevel="0" collapsed="false">
      <c r="A9" s="10" t="s">
        <v>284</v>
      </c>
      <c r="B9" s="10" t="s">
        <v>285</v>
      </c>
      <c r="C9" s="10" t="s">
        <v>286</v>
      </c>
      <c r="D9" s="10" t="s">
        <v>287</v>
      </c>
    </row>
    <row r="10" customFormat="false" ht="72" hidden="false" customHeight="true" outlineLevel="0" collapsed="false">
      <c r="A10" s="11" t="s">
        <v>288</v>
      </c>
      <c r="B10" s="12" t="s">
        <v>289</v>
      </c>
      <c r="C10" s="12" t="s">
        <v>290</v>
      </c>
      <c r="D10" s="11"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6"/>
    <col collapsed="false" customWidth="true" hidden="false" outlineLevel="0" max="3" min="3" style="0" width="16"/>
    <col collapsed="false" customWidth="true" hidden="false" outlineLevel="0" max="4" min="4" style="0" width="62"/>
    <col collapsed="false" customWidth="true" hidden="false" outlineLevel="0" max="5" min="5" style="0" width="16"/>
  </cols>
  <sheetData>
    <row r="1" customFormat="false" ht="17.35" hidden="false" customHeight="false" outlineLevel="0" collapsed="false">
      <c r="A1" s="1" t="s">
        <v>292</v>
      </c>
    </row>
    <row r="2" customFormat="false" ht="15" hidden="false" customHeight="false" outlineLevel="0" collapsed="false">
      <c r="A2" s="2" t="s">
        <v>293</v>
      </c>
    </row>
    <row r="4" customFormat="false" ht="15" hidden="false" customHeight="false" outlineLevel="0" collapsed="false">
      <c r="A4" s="10" t="s">
        <v>294</v>
      </c>
      <c r="B4" s="10" t="s">
        <v>295</v>
      </c>
      <c r="C4" s="10" t="s">
        <v>296</v>
      </c>
      <c r="D4" s="10" t="s">
        <v>297</v>
      </c>
      <c r="E4" s="10" t="s">
        <v>298</v>
      </c>
    </row>
    <row r="5" customFormat="false" ht="54" hidden="false" customHeight="true" outlineLevel="0" collapsed="false">
      <c r="A5" s="11" t="s">
        <v>299</v>
      </c>
      <c r="B5" s="12" t="s">
        <v>300</v>
      </c>
      <c r="C5" s="11" t="s">
        <v>301</v>
      </c>
      <c r="D5" s="12" t="s">
        <v>302</v>
      </c>
      <c r="E5" s="11" t="s">
        <v>303</v>
      </c>
    </row>
    <row r="6" customFormat="false" ht="54" hidden="false" customHeight="true" outlineLevel="0" collapsed="false">
      <c r="A6" s="11" t="s">
        <v>299</v>
      </c>
      <c r="B6" s="12" t="s">
        <v>300</v>
      </c>
      <c r="C6" s="11" t="s">
        <v>301</v>
      </c>
      <c r="D6" s="12" t="s">
        <v>302</v>
      </c>
      <c r="E6" s="11" t="s">
        <v>303</v>
      </c>
    </row>
    <row r="7" customFormat="false" ht="54" hidden="false" customHeight="true" outlineLevel="0" collapsed="false">
      <c r="A7" s="11" t="s">
        <v>299</v>
      </c>
      <c r="B7" s="12" t="s">
        <v>300</v>
      </c>
      <c r="C7" s="11" t="s">
        <v>301</v>
      </c>
      <c r="D7" s="12" t="s">
        <v>302</v>
      </c>
      <c r="E7" s="11" t="s">
        <v>303</v>
      </c>
    </row>
    <row r="8" customFormat="false" ht="54" hidden="false" customHeight="true" outlineLevel="0" collapsed="false">
      <c r="A8" s="11" t="s">
        <v>299</v>
      </c>
      <c r="B8" s="12" t="s">
        <v>300</v>
      </c>
      <c r="C8" s="11" t="s">
        <v>301</v>
      </c>
      <c r="D8" s="12" t="s">
        <v>302</v>
      </c>
      <c r="E8" s="11" t="s">
        <v>303</v>
      </c>
    </row>
    <row r="9" customFormat="false" ht="54" hidden="false" customHeight="true" outlineLevel="0" collapsed="false">
      <c r="A9" s="11" t="s">
        <v>299</v>
      </c>
      <c r="B9" s="12" t="s">
        <v>300</v>
      </c>
      <c r="C9" s="11" t="s">
        <v>301</v>
      </c>
      <c r="D9" s="12" t="s">
        <v>302</v>
      </c>
      <c r="E9" s="11" t="s">
        <v>303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4"/>
    <col collapsed="false" customWidth="true" hidden="false" outlineLevel="0" max="3" min="3" style="0" width="16"/>
    <col collapsed="false" customWidth="true" hidden="false" outlineLevel="0" max="4" min="4" style="0" width="42"/>
    <col collapsed="false" customWidth="true" hidden="false" outlineLevel="0" max="5" min="5" style="0" width="46"/>
    <col collapsed="false" customWidth="true" hidden="false" outlineLevel="0" max="6" min="6" style="0" width="18"/>
    <col collapsed="false" customWidth="true" hidden="false" outlineLevel="0" max="7" min="7" style="0" width="30"/>
  </cols>
  <sheetData>
    <row r="1" customFormat="false" ht="17.35" hidden="false" customHeight="false" outlineLevel="0" collapsed="false">
      <c r="A1" s="1" t="s">
        <v>304</v>
      </c>
    </row>
    <row r="2" customFormat="false" ht="15" hidden="false" customHeight="false" outlineLevel="0" collapsed="false">
      <c r="A2" s="2" t="s">
        <v>305</v>
      </c>
    </row>
    <row r="4" customFormat="false" ht="15" hidden="false" customHeight="false" outlineLevel="0" collapsed="false">
      <c r="A4" s="10" t="s">
        <v>306</v>
      </c>
      <c r="B4" s="10" t="s">
        <v>307</v>
      </c>
      <c r="C4" s="10" t="s">
        <v>269</v>
      </c>
      <c r="D4" s="10" t="s">
        <v>308</v>
      </c>
      <c r="E4" s="10" t="s">
        <v>309</v>
      </c>
      <c r="F4" s="10" t="s">
        <v>310</v>
      </c>
      <c r="G4" s="10" t="s">
        <v>311</v>
      </c>
    </row>
    <row r="5" customFormat="false" ht="42" hidden="false" customHeight="true" outlineLevel="0" collapsed="false">
      <c r="A5" s="11" t="s">
        <v>312</v>
      </c>
      <c r="B5" s="12" t="s">
        <v>313</v>
      </c>
      <c r="C5" s="11" t="s">
        <v>301</v>
      </c>
      <c r="D5" s="12" t="s">
        <v>314</v>
      </c>
      <c r="E5" s="12" t="s">
        <v>315</v>
      </c>
      <c r="F5" s="11" t="s">
        <v>316</v>
      </c>
      <c r="G5" s="11" t="s">
        <v>263</v>
      </c>
    </row>
    <row r="6" customFormat="false" ht="42" hidden="false" customHeight="true" outlineLevel="0" collapsed="false">
      <c r="A6" s="11" t="s">
        <v>312</v>
      </c>
      <c r="B6" s="12" t="s">
        <v>313</v>
      </c>
      <c r="C6" s="11" t="s">
        <v>301</v>
      </c>
      <c r="D6" s="12" t="s">
        <v>314</v>
      </c>
      <c r="E6" s="12" t="s">
        <v>315</v>
      </c>
      <c r="F6" s="11" t="s">
        <v>316</v>
      </c>
      <c r="G6" s="11" t="s">
        <v>263</v>
      </c>
    </row>
    <row r="7" customFormat="false" ht="42" hidden="false" customHeight="true" outlineLevel="0" collapsed="false">
      <c r="A7" s="11" t="s">
        <v>312</v>
      </c>
      <c r="B7" s="12" t="s">
        <v>313</v>
      </c>
      <c r="C7" s="11" t="s">
        <v>301</v>
      </c>
      <c r="D7" s="12" t="s">
        <v>314</v>
      </c>
      <c r="E7" s="12" t="s">
        <v>315</v>
      </c>
      <c r="F7" s="11" t="s">
        <v>316</v>
      </c>
      <c r="G7" s="11" t="s">
        <v>263</v>
      </c>
    </row>
    <row r="8" customFormat="false" ht="42" hidden="false" customHeight="true" outlineLevel="0" collapsed="false">
      <c r="A8" s="11" t="s">
        <v>312</v>
      </c>
      <c r="B8" s="12" t="s">
        <v>313</v>
      </c>
      <c r="C8" s="11" t="s">
        <v>301</v>
      </c>
      <c r="D8" s="12" t="s">
        <v>314</v>
      </c>
      <c r="E8" s="12" t="s">
        <v>315</v>
      </c>
      <c r="F8" s="11" t="s">
        <v>316</v>
      </c>
      <c r="G8" s="11" t="s">
        <v>263</v>
      </c>
    </row>
    <row r="9" customFormat="false" ht="42" hidden="false" customHeight="true" outlineLevel="0" collapsed="false">
      <c r="A9" s="11" t="s">
        <v>312</v>
      </c>
      <c r="B9" s="12" t="s">
        <v>313</v>
      </c>
      <c r="C9" s="11" t="s">
        <v>301</v>
      </c>
      <c r="D9" s="12" t="s">
        <v>314</v>
      </c>
      <c r="E9" s="12" t="s">
        <v>315</v>
      </c>
      <c r="F9" s="11" t="s">
        <v>316</v>
      </c>
      <c r="G9" s="11" t="s">
        <v>263</v>
      </c>
    </row>
    <row r="10" customFormat="false" ht="42" hidden="false" customHeight="true" outlineLevel="0" collapsed="false">
      <c r="A10" s="11" t="s">
        <v>312</v>
      </c>
      <c r="B10" s="12" t="s">
        <v>313</v>
      </c>
      <c r="C10" s="11" t="s">
        <v>301</v>
      </c>
      <c r="D10" s="12" t="s">
        <v>314</v>
      </c>
      <c r="E10" s="12" t="s">
        <v>315</v>
      </c>
      <c r="F10" s="11" t="s">
        <v>316</v>
      </c>
      <c r="G10" s="11" t="s">
        <v>263</v>
      </c>
    </row>
    <row r="11" customFormat="false" ht="42" hidden="false" customHeight="true" outlineLevel="0" collapsed="false">
      <c r="A11" s="11" t="s">
        <v>312</v>
      </c>
      <c r="B11" s="12" t="s">
        <v>313</v>
      </c>
      <c r="C11" s="11" t="s">
        <v>301</v>
      </c>
      <c r="D11" s="12" t="s">
        <v>314</v>
      </c>
      <c r="E11" s="12" t="s">
        <v>315</v>
      </c>
      <c r="F11" s="11" t="s">
        <v>316</v>
      </c>
      <c r="G11" s="11"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s>
  <sheetData>
    <row r="1" customFormat="false" ht="17.35" hidden="false" customHeight="false" outlineLevel="0" collapsed="false">
      <c r="A1" s="1" t="s">
        <v>317</v>
      </c>
    </row>
    <row r="2" customFormat="false" ht="15" hidden="false" customHeight="false" outlineLevel="0" collapsed="false">
      <c r="A2" s="2" t="s">
        <v>318</v>
      </c>
    </row>
    <row r="4" customFormat="false" ht="15" hidden="false" customHeight="false" outlineLevel="0" collapsed="false">
      <c r="A4" s="10" t="s">
        <v>319</v>
      </c>
      <c r="B4" s="10" t="s">
        <v>53</v>
      </c>
    </row>
    <row r="5" customFormat="false" ht="15" hidden="false" customHeight="false" outlineLevel="0" collapsed="false">
      <c r="A5" s="24" t="s">
        <v>320</v>
      </c>
      <c r="B5" s="16" t="n">
        <f aca="false">COUNTA(02_Risk_Register!$A$2:$A$16)</f>
        <v>1</v>
      </c>
    </row>
    <row r="6" customFormat="false" ht="15" hidden="false" customHeight="false" outlineLevel="0" collapsed="false">
      <c r="A6" s="24" t="s">
        <v>321</v>
      </c>
      <c r="B6" s="16" t="n">
        <f aca="false">COUNTIF(02_Risk_Register!$M$2:$M$16,"Critical")</f>
        <v>1</v>
      </c>
    </row>
    <row r="7" customFormat="false" ht="15" hidden="false" customHeight="false" outlineLevel="0" collapsed="false">
      <c r="A7" s="24" t="s">
        <v>322</v>
      </c>
      <c r="B7" s="16" t="n">
        <f aca="false">COUNTIF(02_Risk_Register!$M$2:$M$16,"High")</f>
        <v>0</v>
      </c>
    </row>
    <row r="8" customFormat="false" ht="15" hidden="false" customHeight="false" outlineLevel="0" collapsed="false">
      <c r="A8" s="24" t="s">
        <v>323</v>
      </c>
      <c r="B8" s="16" t="n">
        <f aca="false">COUNTIF(02_Risk_Register!$M$2:$M$16,"Medium")</f>
        <v>0</v>
      </c>
    </row>
    <row r="9" customFormat="false" ht="15" hidden="false" customHeight="false" outlineLevel="0" collapsed="false">
      <c r="A9" s="24" t="s">
        <v>324</v>
      </c>
      <c r="B9" s="16" t="n">
        <f aca="false">COUNTIF(02_Risk_Register!$M$2:$M$16,"Low")</f>
        <v>0</v>
      </c>
    </row>
    <row r="10" customFormat="false" ht="15" hidden="false" customHeight="false" outlineLevel="0" collapsed="false">
      <c r="A10" s="24" t="s">
        <v>325</v>
      </c>
      <c r="B10" s="16" t="n">
        <f aca="false">SUM(02_Risk_Register!$F$2:$F$16)</f>
        <v>20</v>
      </c>
    </row>
    <row r="11" customFormat="false" ht="15" hidden="false" customHeight="false" outlineLevel="0" collapsed="false">
      <c r="A11" s="24" t="s">
        <v>326</v>
      </c>
      <c r="B11" s="16" t="n">
        <f aca="false">COUNTA(02_Risk_Register!$A$2:$A$16)*25</f>
        <v>25</v>
      </c>
    </row>
    <row r="12" customFormat="false" ht="15" hidden="false" customHeight="false" outlineLevel="0" collapsed="false">
      <c r="A12" s="24" t="s">
        <v>327</v>
      </c>
      <c r="B12" s="25" t="n">
        <f aca="false">IFERROR(AVERAGE(02_Risk_Register!$F$2:$F$16),0)</f>
        <v>20</v>
      </c>
    </row>
    <row r="13" customFormat="false" ht="15" hidden="false" customHeight="false" outlineLevel="0" collapsed="false">
      <c r="A13" s="24" t="s">
        <v>328</v>
      </c>
      <c r="B13" s="16" t="n">
        <f aca="false">COUNTIF(02_Risk_Register!$N$2:$N$16,"Critical")</f>
        <v>0</v>
      </c>
    </row>
    <row r="14" customFormat="false" ht="15" hidden="false" customHeight="false" outlineLevel="0" collapsed="false">
      <c r="A14" s="24" t="s">
        <v>329</v>
      </c>
      <c r="B14" s="16" t="n">
        <f aca="false">COUNTIF(02_Risk_Register!$N$2:$N$16,"High")</f>
        <v>1</v>
      </c>
    </row>
    <row r="15" customFormat="false" ht="15" hidden="false" customHeight="false" outlineLevel="0" collapsed="false">
      <c r="A15" s="24" t="s">
        <v>330</v>
      </c>
      <c r="B15" s="16" t="n">
        <f aca="false">COUNTIF(02_Risk_Register!$N$2:$N$16,"Medium")</f>
        <v>0</v>
      </c>
    </row>
    <row r="16" customFormat="false" ht="15" hidden="false" customHeight="false" outlineLevel="0" collapsed="false">
      <c r="A16" s="24" t="s">
        <v>331</v>
      </c>
      <c r="B16" s="16" t="n">
        <f aca="false">COUNTIF(02_Risk_Register!$N$2:$N$16,"Low")</f>
        <v>0</v>
      </c>
    </row>
    <row r="17" customFormat="false" ht="15" hidden="false" customHeight="false" outlineLevel="0" collapsed="false">
      <c r="A17" s="24" t="s">
        <v>332</v>
      </c>
      <c r="B17" s="16" t="n">
        <f aca="false">SUM(02_Risk_Register!$J$2:$J$16)</f>
        <v>12</v>
      </c>
    </row>
    <row r="18" customFormat="false" ht="15" hidden="false" customHeight="false" outlineLevel="0" collapsed="false">
      <c r="A18" s="24" t="s">
        <v>333</v>
      </c>
      <c r="B18" s="25" t="n">
        <f aca="false">IFERROR(AVERAGE(02_Risk_Register!$J$2:$J$16),0)</f>
        <v>12</v>
      </c>
    </row>
    <row r="19" customFormat="false" ht="15" hidden="false" customHeight="false" outlineLevel="0" collapsed="false">
      <c r="A19" s="24" t="s">
        <v>334</v>
      </c>
      <c r="B19" s="16" t="n">
        <f aca="false">SUM(02_Risk_Register!$O$2:$O$16)</f>
        <v>8</v>
      </c>
    </row>
    <row r="20" customFormat="false" ht="15" hidden="false" customHeight="false" outlineLevel="0" collapsed="false">
      <c r="A20" s="24" t="s">
        <v>335</v>
      </c>
      <c r="B20" s="26" t="n">
        <f aca="false">IFERROR(SUM(02_Risk_Register!$O$2:$O$16)/SUM(02_Risk_Register!$F$2:$F$16),0)</f>
        <v>0.4</v>
      </c>
    </row>
    <row r="21" customFormat="false" ht="15" hidden="false" customHeight="false" outlineLevel="0" collapsed="false">
      <c r="A21" s="24" t="s">
        <v>336</v>
      </c>
      <c r="B21" s="16" t="n">
        <f aca="false">COUNTIF(02_Risk_Register!$N$2:$N$16,"High")+COUNTIF(02_Risk_Register!$N$2:$N$16,"Critical")</f>
        <v>1</v>
      </c>
    </row>
    <row r="22" customFormat="false" ht="15" hidden="false" customHeight="false" outlineLevel="0" collapsed="false">
      <c r="A22" s="24" t="s">
        <v>337</v>
      </c>
      <c r="B22" s="16" t="n">
        <f aca="false">COUNTIF(02_Risk_Register!$K$2:$K$16,"Mitigate*")</f>
        <v>1</v>
      </c>
    </row>
    <row r="23" customFormat="false" ht="15" hidden="false" customHeight="false" outlineLevel="0" collapsed="false">
      <c r="A23" s="24" t="s">
        <v>338</v>
      </c>
      <c r="B23" s="16" t="n">
        <f aca="false">COUNTIF(02_Risk_Register!$K$2:$K$16,"*Transfer*")</f>
        <v>0</v>
      </c>
    </row>
    <row r="24" customFormat="false" ht="15" hidden="false" customHeight="false" outlineLevel="0" collapsed="false">
      <c r="A24" s="24" t="s">
        <v>339</v>
      </c>
      <c r="B24" s="16" t="n">
        <f aca="false">COUNTIF(06_Accept_Avoid!$A$1:$A$60,"*ACC-*")</f>
        <v>1</v>
      </c>
    </row>
    <row r="25" customFormat="false" ht="15" hidden="false" customHeight="false" outlineLevel="0" collapsed="false">
      <c r="A25" s="24" t="s">
        <v>340</v>
      </c>
      <c r="B25" s="16" t="n">
        <f aca="false">COUNTIF(06_Accept_Avoid!$A$1:$A$60,"*AVD-*")</f>
        <v>1</v>
      </c>
    </row>
    <row r="26" customFormat="false" ht="15" hidden="false" customHeight="false" outlineLevel="0" collapsed="false">
      <c r="A26" s="24" t="s">
        <v>341</v>
      </c>
      <c r="B26" s="16" t="n">
        <f aca="false">COUNTIF(07_Control_Gaps!$A$1:$A$60,"*CG-*")</f>
        <v>5</v>
      </c>
    </row>
    <row r="27" customFormat="false" ht="15" hidden="false" customHeight="false" outlineLevel="0" collapsed="false">
      <c r="A27" s="24" t="s">
        <v>342</v>
      </c>
      <c r="B27" s="16" t="n">
        <f aca="false">COUNTIF(05_Treatment_Plan!$A$1:$A$60,"*TP-*")</f>
        <v>8</v>
      </c>
    </row>
    <row r="28" customFormat="false" ht="15" hidden="false" customHeight="false" outlineLevel="0" collapsed="false">
      <c r="A28" s="24" t="s">
        <v>343</v>
      </c>
      <c r="B28" s="16" t="n">
        <f aca="false">SUMIF(05_Treatment_Plan!$A$1:$A$60,"*TP-*",05_Treatment_Plan!$G$1:$G$60)</f>
        <v>0</v>
      </c>
    </row>
    <row r="30" customFormat="false" ht="15" hidden="false" customHeight="false" outlineLevel="0" collapsed="false">
      <c r="A30" s="5" t="s">
        <v>344</v>
      </c>
    </row>
    <row r="31" customFormat="false" ht="15" hidden="false" customHeight="false" outlineLevel="0" collapsed="false">
      <c r="A31" s="27"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66"/>
    <col collapsed="false" customWidth="true" hidden="false" outlineLevel="0" max="4" min="4" style="0" width="20"/>
  </cols>
  <sheetData>
    <row r="1" customFormat="false" ht="17.35" hidden="false" customHeight="false" outlineLevel="0" collapsed="false">
      <c r="A1" s="1" t="s">
        <v>346</v>
      </c>
    </row>
    <row r="2" customFormat="false" ht="15" hidden="false" customHeight="false" outlineLevel="0" collapsed="false">
      <c r="A2" s="2" t="s">
        <v>347</v>
      </c>
    </row>
    <row r="4" customFormat="false" ht="15" hidden="false" customHeight="false" outlineLevel="0" collapsed="false">
      <c r="A4" s="5" t="s">
        <v>348</v>
      </c>
    </row>
    <row r="5" customFormat="false" ht="15" hidden="false" customHeight="true" outlineLevel="0" collapsed="false">
      <c r="A5" s="4" t="s">
        <v>349</v>
      </c>
      <c r="B5" s="4"/>
      <c r="C5" s="4"/>
      <c r="D5" s="4"/>
    </row>
    <row r="6" customFormat="false" ht="15" hidden="false" customHeight="false" outlineLevel="0" collapsed="false">
      <c r="A6" s="4"/>
      <c r="B6" s="4"/>
      <c r="C6" s="4"/>
      <c r="D6" s="4"/>
    </row>
    <row r="7" customFormat="false" ht="15" hidden="false" customHeight="false" outlineLevel="0" collapsed="false">
      <c r="A7" s="4"/>
      <c r="B7" s="4"/>
      <c r="C7" s="4"/>
      <c r="D7" s="4"/>
    </row>
    <row r="8" customFormat="false" ht="15" hidden="false" customHeight="false" outlineLevel="0" collapsed="false">
      <c r="A8" s="4"/>
      <c r="B8" s="4"/>
      <c r="C8" s="4"/>
      <c r="D8" s="4"/>
    </row>
    <row r="10" customFormat="false" ht="15" hidden="false" customHeight="false" outlineLevel="0" collapsed="false">
      <c r="A10" s="5" t="s">
        <v>350</v>
      </c>
    </row>
    <row r="11" customFormat="false" ht="15" hidden="false" customHeight="false" outlineLevel="0" collapsed="false">
      <c r="A11" s="10" t="s">
        <v>84</v>
      </c>
      <c r="B11" s="10" t="s">
        <v>351</v>
      </c>
      <c r="C11" s="10" t="s">
        <v>352</v>
      </c>
    </row>
    <row r="12" customFormat="false" ht="63.75" hidden="false" customHeight="true" outlineLevel="0" collapsed="false">
      <c r="A12" s="11" t="s">
        <v>353</v>
      </c>
      <c r="B12" s="11" t="s">
        <v>354</v>
      </c>
      <c r="C12" s="12" t="s">
        <v>355</v>
      </c>
    </row>
    <row r="13" customFormat="false" ht="63.75" hidden="false" customHeight="true" outlineLevel="0" collapsed="false">
      <c r="A13" s="11" t="s">
        <v>356</v>
      </c>
      <c r="B13" s="11" t="s">
        <v>357</v>
      </c>
      <c r="C13" s="12" t="s">
        <v>358</v>
      </c>
    </row>
    <row r="14" customFormat="false" ht="63.75" hidden="false" customHeight="true" outlineLevel="0" collapsed="false">
      <c r="A14" s="11" t="s">
        <v>359</v>
      </c>
      <c r="B14" s="11" t="s">
        <v>360</v>
      </c>
      <c r="C14" s="12" t="s">
        <v>361</v>
      </c>
    </row>
    <row r="15" customFormat="false" ht="63.75" hidden="false" customHeight="true" outlineLevel="0" collapsed="false">
      <c r="A15" s="11" t="s">
        <v>362</v>
      </c>
      <c r="B15" s="11" t="s">
        <v>363</v>
      </c>
      <c r="C15" s="12" t="s">
        <v>364</v>
      </c>
    </row>
    <row r="16" customFormat="false" ht="63.75" hidden="false" customHeight="true" outlineLevel="0" collapsed="false">
      <c r="A16" s="11" t="s">
        <v>365</v>
      </c>
      <c r="B16" s="11" t="s">
        <v>74</v>
      </c>
      <c r="C16" s="12" t="s">
        <v>366</v>
      </c>
    </row>
    <row r="18" customFormat="false" ht="15" hidden="false" customHeight="false" outlineLevel="0" collapsed="false">
      <c r="A18" s="5" t="s">
        <v>367</v>
      </c>
    </row>
    <row r="19" customFormat="false" ht="15" hidden="false" customHeight="true" outlineLevel="0" collapsed="false">
      <c r="A19" s="4" t="s">
        <v>368</v>
      </c>
      <c r="B19" s="4"/>
      <c r="C19" s="4"/>
      <c r="D19" s="4"/>
    </row>
    <row r="20" customFormat="false" ht="15" hidden="false" customHeight="false" outlineLevel="0" collapsed="false">
      <c r="A20" s="4"/>
      <c r="B20" s="4"/>
      <c r="C20" s="4"/>
      <c r="D20" s="4"/>
    </row>
    <row r="21" customFormat="false" ht="15" hidden="false" customHeight="false" outlineLevel="0" collapsed="false">
      <c r="A21" s="4"/>
      <c r="B21" s="4"/>
      <c r="C21" s="4"/>
      <c r="D21" s="4"/>
    </row>
    <row r="23" customFormat="false" ht="15" hidden="false" customHeight="false" outlineLevel="0" collapsed="false">
      <c r="A23" s="5" t="s">
        <v>369</v>
      </c>
    </row>
    <row r="24" customFormat="false" ht="15" hidden="false" customHeight="false" outlineLevel="0" collapsed="false">
      <c r="A24" s="10" t="s">
        <v>370</v>
      </c>
      <c r="B24" s="10" t="s">
        <v>371</v>
      </c>
      <c r="C24" s="10" t="s">
        <v>250</v>
      </c>
      <c r="D24" s="10" t="s">
        <v>372</v>
      </c>
    </row>
    <row r="25" customFormat="false" ht="30" hidden="false" customHeight="true" outlineLevel="0" collapsed="false">
      <c r="A25" s="11" t="s">
        <v>373</v>
      </c>
      <c r="B25" s="11" t="s">
        <v>374</v>
      </c>
      <c r="C25" s="12" t="s">
        <v>375</v>
      </c>
      <c r="D25" s="11" t="s">
        <v>376</v>
      </c>
    </row>
    <row r="26" customFormat="false" ht="30" hidden="false" customHeight="true" outlineLevel="0" collapsed="false">
      <c r="A26" s="11" t="s">
        <v>377</v>
      </c>
      <c r="B26" s="11" t="s">
        <v>374</v>
      </c>
      <c r="C26" s="12" t="s">
        <v>378</v>
      </c>
      <c r="D26" s="11" t="s">
        <v>376</v>
      </c>
    </row>
    <row r="27" customFormat="false" ht="30" hidden="false" customHeight="true" outlineLevel="0" collapsed="false">
      <c r="A27" s="11" t="s">
        <v>61</v>
      </c>
      <c r="B27" s="11" t="s">
        <v>374</v>
      </c>
      <c r="C27" s="12" t="s">
        <v>379</v>
      </c>
      <c r="D27" s="11" t="s">
        <v>376</v>
      </c>
    </row>
    <row r="29" customFormat="false" ht="15" hidden="false" customHeight="false" outlineLevel="0" collapsed="false">
      <c r="A29" s="7" t="s">
        <v>380</v>
      </c>
    </row>
  </sheetData>
  <mergeCells count="2">
    <mergeCell ref="A5:D8"/>
    <mergeCell ref="A19: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0"/>
  </cols>
  <sheetData>
    <row r="1" customFormat="false" ht="17.35" hidden="false" customHeight="false" outlineLevel="0" collapsed="false">
      <c r="A1" s="1" t="s">
        <v>381</v>
      </c>
    </row>
    <row r="2" customFormat="false" ht="15" hidden="false" customHeight="false" outlineLevel="0" collapsed="false">
      <c r="A2" s="2" t="s">
        <v>382</v>
      </c>
    </row>
    <row r="4" customFormat="false" ht="15" hidden="false" customHeight="false" outlineLevel="0" collapsed="false">
      <c r="A4" s="10" t="s">
        <v>383</v>
      </c>
      <c r="B4" s="10" t="s">
        <v>384</v>
      </c>
    </row>
    <row r="5" customFormat="false" ht="27.75" hidden="false" customHeight="true" outlineLevel="0" collapsed="false">
      <c r="A5" s="18"/>
      <c r="B5" s="12" t="s">
        <v>385</v>
      </c>
    </row>
    <row r="6" customFormat="false" ht="27.75" hidden="false" customHeight="true" outlineLevel="0" collapsed="false">
      <c r="A6" s="18"/>
      <c r="B6" s="12" t="s">
        <v>386</v>
      </c>
    </row>
    <row r="7" customFormat="false" ht="27.75" hidden="false" customHeight="true" outlineLevel="0" collapsed="false">
      <c r="A7" s="18"/>
      <c r="B7" s="12" t="s">
        <v>387</v>
      </c>
    </row>
    <row r="8" customFormat="false" ht="27.75" hidden="false" customHeight="true" outlineLevel="0" collapsed="false">
      <c r="A8" s="18"/>
      <c r="B8" s="12" t="s">
        <v>388</v>
      </c>
    </row>
    <row r="9" customFormat="false" ht="27.75" hidden="false" customHeight="true" outlineLevel="0" collapsed="false">
      <c r="A9" s="18"/>
      <c r="B9" s="12" t="s">
        <v>389</v>
      </c>
    </row>
    <row r="10" customFormat="false" ht="27.75" hidden="false" customHeight="true" outlineLevel="0" collapsed="false">
      <c r="A10" s="18"/>
      <c r="B10" s="12" t="s">
        <v>390</v>
      </c>
    </row>
    <row r="11" customFormat="false" ht="27.75" hidden="false" customHeight="true" outlineLevel="0" collapsed="false">
      <c r="A11" s="18"/>
      <c r="B11" s="12" t="s">
        <v>391</v>
      </c>
    </row>
    <row r="12" customFormat="false" ht="27.75" hidden="false" customHeight="true" outlineLevel="0" collapsed="false">
      <c r="A12" s="18"/>
      <c r="B12" s="12" t="s">
        <v>392</v>
      </c>
    </row>
    <row r="13" customFormat="false" ht="27.75" hidden="false" customHeight="true" outlineLevel="0" collapsed="false">
      <c r="A13" s="18"/>
      <c r="B13" s="12" t="s">
        <v>393</v>
      </c>
    </row>
    <row r="14" customFormat="false" ht="27.75" hidden="false" customHeight="true" outlineLevel="0" collapsed="false">
      <c r="A14" s="18"/>
      <c r="B14" s="12" t="s">
        <v>394</v>
      </c>
    </row>
    <row r="15" customFormat="false" ht="27.75" hidden="false" customHeight="true" outlineLevel="0" collapsed="false">
      <c r="A15" s="18"/>
      <c r="B15" s="12" t="s">
        <v>395</v>
      </c>
    </row>
    <row r="16" customFormat="false" ht="27.75" hidden="false" customHeight="true" outlineLevel="0" collapsed="false">
      <c r="A16" s="18"/>
      <c r="B16" s="12" t="s">
        <v>396</v>
      </c>
    </row>
    <row r="17" customFormat="false" ht="27.75" hidden="false" customHeight="true" outlineLevel="0" collapsed="false">
      <c r="A17" s="18"/>
      <c r="B17" s="12" t="s">
        <v>397</v>
      </c>
    </row>
    <row r="18" customFormat="false" ht="27.75" hidden="false" customHeight="true" outlineLevel="0" collapsed="false">
      <c r="A18" s="18"/>
      <c r="B18" s="12" t="s">
        <v>398</v>
      </c>
    </row>
    <row r="19" customFormat="false" ht="27.75" hidden="false" customHeight="true" outlineLevel="0" collapsed="false">
      <c r="A19" s="18"/>
      <c r="B19" s="12" t="s">
        <v>399</v>
      </c>
    </row>
  </sheetData>
  <dataValidations count="1">
    <dataValidation allowBlank="true" errorStyle="stop" operator="between" showDropDown="false" showErrorMessage="false" showInputMessage="false" sqref="A5:A19"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2026-09-09T16:02:22Z</dcterms:created>
  <dc:creator>openpyxl</dc:creator>
  <dc:description/>
  <dc:language>en-US</dc:language>
  <cp:lastModifiedBy/>
  <dcterms:modified xsi:type="dcterms:W3CDTF">2026-09-09T16:02:22Z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