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Metadata" sheetId="2" state="visible" r:id="rId4"/>
    <sheet name="02_Risk_Register" sheetId="3" state="visible" r:id="rId5"/>
    <sheet name="03_Scoring_Legend" sheetId="4" state="visible" r:id="rId6"/>
    <sheet name="04_Residual_Rationale" sheetId="5" state="visible" r:id="rId7"/>
    <sheet name="05_Treatment_Plan" sheetId="6" state="visible" r:id="rId8"/>
    <sheet name="06_Accept_Avoid" sheetId="7" state="visible" r:id="rId9"/>
    <sheet name="07_Control_Gaps" sheetId="8" state="visible" r:id="rId10"/>
    <sheet name="08_KRI_Dashboard" sheetId="9" state="visible" r:id="rId11"/>
    <sheet name="09_Summary" sheetId="10" state="visible" r:id="rId12"/>
    <sheet name="10_Methodology" sheetId="11" state="visible" r:id="rId13"/>
    <sheet name="11_Issue_Checklist" sheetId="12" state="visible" r:id="rId14"/>
  </sheets>
  <definedNames>
    <definedName function="false" hidden="true" localSheetId="2" name="_xlnm._FilterDatabase" vbProcedure="false">02_Risk_Register!$A$1:$S$6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<sst xmlns="http://schemas.openxmlformats.org/spreadsheetml/2006/main" count="644" uniqueCount="514">
  <si>
    <t xml:space="preserve">Cypher Group Inc. - Master Information Security Risk Register</t>
  </si>
  <si>
    <t xml:space="preserve">Assessed under NIST SP 800-30 Rev. 1, semi-quantitative 5 x 5</t>
  </si>
  <si>
    <t xml:space="preserve">FICTIONAL DATA NOTICE</t>
  </si>
  <si>
    <t xml:space="preserve">Cypher Group Inc. is a FICTIONAL company created solely to demonstrate applied GRC capability. All names, system details, dates, scores, approvals and findings are invented. No real company, customer or personal data appears anywhere in this workbook. No certification or attestation by any body is claimed or implied. Author: O.S | Portfolio project 2 of 7 | September 2026.</t>
  </si>
  <si>
    <t xml:space="preserve">Cell colour legend</t>
  </si>
  <si>
    <t xml:space="preserve">Yellow</t>
  </si>
  <si>
    <t xml:space="preserve">You type here. Inputs, narrative and owner fields.</t>
  </si>
  <si>
    <t xml:space="preserve">Grey</t>
  </si>
  <si>
    <t xml:space="preserve">Formula. Do NOT type over it - it recalculates itself.</t>
  </si>
  <si>
    <t xml:space="preserve">Sheets in this workbook</t>
  </si>
  <si>
    <t xml:space="preserve">Sheet</t>
  </si>
  <si>
    <t xml:space="preserve">What it holds</t>
  </si>
  <si>
    <t xml:space="preserve">00_README</t>
  </si>
  <si>
    <t xml:space="preserve">This page. Notice, legend, how to use, GitHub and Notion instructions.</t>
  </si>
  <si>
    <t xml:space="preserve">01_Metadata</t>
  </si>
  <si>
    <t xml:space="preserve">Document control block, scope, and the documented assumptions.</t>
  </si>
  <si>
    <t xml:space="preserve">02_Risk_Register</t>
  </si>
  <si>
    <t xml:space="preserve">THE ARTIFACT. Columns A to L are the mandated 12-column matrix in the required order. Columns M to S are derived ratings and governance fields; delete them if a spec forbids extras.</t>
  </si>
  <si>
    <t xml:space="preserve">03_Scoring_Legend</t>
  </si>
  <si>
    <t xml:space="preserve">Likelihood scale, impact scale, qualitative thresholds, treatment definitions.</t>
  </si>
  <si>
    <t xml:space="preserve">04_Residual_Rationale</t>
  </si>
  <si>
    <t xml:space="preserve">Why every score moved, and why the ones that did not move did not.</t>
  </si>
  <si>
    <t xml:space="preserve">05_Treatment_Plan</t>
  </si>
  <si>
    <t xml:space="preserve">Dated, costed, owned actions with a target residual score.</t>
  </si>
  <si>
    <t xml:space="preserve">06_Accept_Avoid</t>
  </si>
  <si>
    <t xml:space="preserve">Formally accepted risks and risks avoided by design.</t>
  </si>
  <si>
    <t xml:space="preserve">07_Control_Gaps</t>
  </si>
  <si>
    <t xml:space="preserve">What the policy set does not cover, and which residual score each gap caps.</t>
  </si>
  <si>
    <t xml:space="preserve">08_KRI_Dashboard</t>
  </si>
  <si>
    <t xml:space="preserve">Key risk indicators with thresholds, sources, cadence and owners.</t>
  </si>
  <si>
    <t xml:space="preserve">09_Summary</t>
  </si>
  <si>
    <t xml:space="preserve">Live formula summary. Counts, aggregates and percentage reduction.</t>
  </si>
  <si>
    <t xml:space="preserve">10_Methodology</t>
  </si>
  <si>
    <t xml:space="preserve">Method, limitations and honest caveats. Approval block.</t>
  </si>
  <si>
    <t xml:space="preserve">11_Issue_Checklist</t>
  </si>
  <si>
    <t xml:space="preserve">Fifteen checks to pass before issuing.</t>
  </si>
  <si>
    <t xml:space="preserve">How to use this in GitHub</t>
  </si>
  <si>
    <t xml:space="preserve">1. Commit the .xlsx at risk/02-master-risk-register.xlsx (or templates/risk-register-template.xlsx).</t>
  </si>
  <si>
    <t xml:space="preserve">2. Also commit the .md version. GitHub renders Markdown inline; it will not preview an .xlsx, so the Markdown file is what a recruiter actually reads on their phone.</t>
  </si>
  <si>
    <t xml:space="preserve">3. Commit the .csv too. GitHub renders CSV as a sortable table in the browser, which is the fastest way for someone to see the register without downloading anything.</t>
  </si>
  <si>
    <t xml:space="preserve">4. In risk/README.md, link all three: the Markdown for reading, the xlsx for working, the CSV for previewing.</t>
  </si>
  <si>
    <t xml:space="preserve">5. Export 02_Risk_Register and 03_Scoring_Legend as PNG screenshots into risk/evidence/ and embed them in the README. A README with images gets read; a wall of links does not.</t>
  </si>
  <si>
    <t xml:space="preserve">How to use this in Notion</t>
  </si>
  <si>
    <t xml:space="preserve">1. Import the CSV, not the xlsx. In Notion: /database - Import - CSV. A CSV import creates a real Notion database with one row per risk; an xlsx import is less predictable and can flatten to a table block.</t>
  </si>
  <si>
    <t xml:space="preserve">2. Notion cannot import Excel formulas. Delete the imported Inherent Rating, Residual Rating and Risk Reduction columns and rebuild them as Notion FORMULA properties - the exact formulas are in the Project 2 handoff, section 5 Notion Layout.</t>
  </si>
  <si>
    <t xml:space="preserve">3. Change the property types after import: Likelihood and Impact to Select (1-5), Treatment Strategy to Select, Action Owner and Risk Owner to Select, Next Review Date to Date.</t>
  </si>
  <si>
    <t xml:space="preserve">4. Build four views for portfolio screenshots: Board grouped by Residual Rating; Board grouped by Inherent Rating; Table sorted by Risk Reduction descending; Gallery filtered to Residual Rating = High.</t>
  </si>
  <si>
    <t xml:space="preserve">5. Relate the Risk Register database to a Treatment Plan database and a Control Gap database so the TP and CG identifiers become clickable links rather than loose text.</t>
  </si>
  <si>
    <t xml:space="preserve">Metadata, scope and documented assumptions</t>
  </si>
  <si>
    <t xml:space="preserve">Scope and assumptions are stated so a reviewer can challenge them rather than guess at them.</t>
  </si>
  <si>
    <t xml:space="preserve">Field</t>
  </si>
  <si>
    <t xml:space="preserve">Value</t>
  </si>
  <si>
    <t xml:space="preserve">Document ID</t>
  </si>
  <si>
    <t xml:space="preserve">CGI-RSK-001</t>
  </si>
  <si>
    <t xml:space="preserve">Document title</t>
  </si>
  <si>
    <t xml:space="preserve">Master Information Security Risk Register</t>
  </si>
  <si>
    <t xml:space="preserve">Version</t>
  </si>
  <si>
    <t xml:space="preserve">1.0</t>
  </si>
  <si>
    <t xml:space="preserve">Classification</t>
  </si>
  <si>
    <t xml:space="preserve">Confidential</t>
  </si>
  <si>
    <t xml:space="preserve">Register owner (accountable)</t>
  </si>
  <si>
    <t xml:space="preserve">Priya Raman, Chief Technology Officer</t>
  </si>
  <si>
    <t xml:space="preserve">Prepared by (assessor)</t>
  </si>
  <si>
    <t xml:space="preserve">O.S, GRC Analyst (engaged)</t>
  </si>
  <si>
    <t xml:space="preserve">Approved by</t>
  </si>
  <si>
    <t xml:space="preserve">Jerry Olugboye, Chief Executive Officer</t>
  </si>
  <si>
    <t xml:space="preserve">Assessment method</t>
  </si>
  <si>
    <t xml:space="preserve">NIST SP 800-30 Rev. 1, semi-quantitative 5 x 5 (Appendix G assessment scales)</t>
  </si>
  <si>
    <t xml:space="preserve">Supporting standards referenced</t>
  </si>
  <si>
    <t xml:space="preserve">ISO/IEC 27005:2022, ISO 31000:2018, NIST CSF 2.0</t>
  </si>
  <si>
    <t xml:space="preserve">Assessment period</t>
  </si>
  <si>
    <t xml:space="preserve">07 - 08 September 2026</t>
  </si>
  <si>
    <t xml:space="preserve">Assessment date</t>
  </si>
  <si>
    <t xml:space="preserve">08 September 2026</t>
  </si>
  <si>
    <t xml:space="preserve">Approval date</t>
  </si>
  <si>
    <t xml:space="preserve">Effective date</t>
  </si>
  <si>
    <t xml:space="preserve">15 September 2026 (aligned to the CGI-POL policy pack effective date)</t>
  </si>
  <si>
    <t xml:space="preserve">Review cadence</t>
  </si>
  <si>
    <t xml:space="preserve">Quarterly for any risk rated High or Critical; annually for the full register; and on any material change or SEV1/SEV2 incident</t>
  </si>
  <si>
    <t xml:space="preserve">Next scheduled review</t>
  </si>
  <si>
    <t xml:space="preserve">15 December 2026</t>
  </si>
  <si>
    <t xml:space="preserve">Next full annual review</t>
  </si>
  <si>
    <t xml:space="preserve">15 September 2027</t>
  </si>
  <si>
    <t xml:space="preserve">Risks in scope of this version</t>
  </si>
  <si>
    <t xml:space="preserve">5 operational threat scenarios (R-001 to R-005)</t>
  </si>
  <si>
    <t xml:space="preserve">Related documents</t>
  </si>
  <si>
    <t xml:space="preserve">CGI-POL-001 to CGI-POL-005 (Startup Security Policy Pack v1.0); CGI-TRK-001 (Employee Policy Sign-off and Training Tracker)</t>
  </si>
  <si>
    <t xml:space="preserve">Retention</t>
  </si>
  <si>
    <t xml:space="preserve">Minimum 3 years, per CGI-POL-004 4.2 (Confidential tier)</t>
  </si>
  <si>
    <t xml:space="preserve">Scope</t>
  </si>
  <si>
    <t xml:space="preserve">Dimension</t>
  </si>
  <si>
    <t xml:space="preserve">Statement</t>
  </si>
  <si>
    <t xml:space="preserve">In scope</t>
  </si>
  <si>
    <t xml:space="preserve">All information assets supporting the Cypher Group Inc. B2B SaaS project-management platform and the corporate environment: AWS production hosting, GitHub source code repositories, Google Workspace, Slack, the Stripe dashboard and payment metadata, the production database, employee endpoints (company-owned and personally owned), and the customer account data of approximately 200 SMB customers.</t>
  </si>
  <si>
    <t xml:space="preserve">Out of scope</t>
  </si>
  <si>
    <t xml:space="preserve">Physical premises security beyond endpoint handling; financial and fraud risk not arising from an information security cause; third-party vendor risk assessed at supplier level (deferred to a dedicated Third-Party Risk Management programme); business continuity scenarios of non-security origin.</t>
  </si>
  <si>
    <t xml:space="preserve">Time horizon</t>
  </si>
  <si>
    <t xml:space="preserve">All likelihood scores express the probability of the event occurring within a rolling 12-month period.</t>
  </si>
  <si>
    <t xml:space="preserve">Documented assumptions</t>
  </si>
  <si>
    <t xml:space="preserve">#</t>
  </si>
  <si>
    <t xml:space="preserve">Assumption</t>
  </si>
  <si>
    <t xml:space="preserve">Used for</t>
  </si>
  <si>
    <t xml:space="preserve">A-01</t>
  </si>
  <si>
    <t xml:space="preserve">Annual recurring revenue is approximately USD 3.6 million (approx. 200 customers at an average contract value of approx. USD 18,000).</t>
  </si>
  <si>
    <t xml:space="preserve">Calibrating the financial bands in the Impact scale to Cypher's size.</t>
  </si>
  <si>
    <t xml:space="preserve">A-02</t>
  </si>
  <si>
    <t xml:space="preserve">Headcount is 50, with an assumed annual attrition of 6 to 8 leavers.</t>
  </si>
  <si>
    <t xml:space="preserve">Frequency basis for R-003 (insider / departing worker).</t>
  </si>
  <si>
    <t xml:space="preserve">A-03</t>
  </si>
  <si>
    <t xml:space="preserve">The CGI-POL pack is approved but only 60% acknowledged as at 05 September 2026 (CGI-TRK-001).</t>
  </si>
  <si>
    <t xml:space="preserve">Applied as a control effectiveness discount - residual scores are not credited at full policy strength.</t>
  </si>
  <si>
    <t xml:space="preserve">A-04</t>
  </si>
  <si>
    <t xml:space="preserve">No backup, secure-development, vulnerability-management or cloud-configuration policy exists yet.</t>
  </si>
  <si>
    <t xml:space="preserve">Explains why residual impact for R-002, R-004 and R-005 remains elevated. Gaps CG-01 to CG-03.</t>
  </si>
  <si>
    <t xml:space="preserve">A-05</t>
  </si>
  <si>
    <t xml:space="preserve">Cypher Group holds no cyber insurance at the assessment date.</t>
  </si>
  <si>
    <t xml:space="preserve">Basis of the Transfer element in TP-04.</t>
  </si>
  <si>
    <t xml:space="preserve">A-06</t>
  </si>
  <si>
    <t xml:space="preserve">Cypher Group is a processor under GDPR for customer personal data and a controller for employee data (CGI-POL-004 4.5.4).</t>
  </si>
  <si>
    <t xml:space="preserve">Regulatory dimension of the Impact scale.</t>
  </si>
  <si>
    <t xml:space="preserve">Risk ID</t>
  </si>
  <si>
    <t xml:space="preserve">Target Asset &amp; Vulnerability</t>
  </si>
  <si>
    <t xml:space="preserve">Threat Description</t>
  </si>
  <si>
    <t xml:space="preserve">Inherent Likelihood (1-5)</t>
  </si>
  <si>
    <t xml:space="preserve">Inherent Impact (1-5)</t>
  </si>
  <si>
    <t xml:space="preserve">Total Inherent Risk Score (Likelihood x Impact)</t>
  </si>
  <si>
    <t xml:space="preserve">Mitigating Controls (Cross-referenced to Project 1 policies)</t>
  </si>
  <si>
    <t xml:space="preserve">Residual Likelihood (1-5)</t>
  </si>
  <si>
    <t xml:space="preserve">Residual Impact (1-5)</t>
  </si>
  <si>
    <t xml:space="preserve">Total Residual Risk Score (Likelihood x Impact)</t>
  </si>
  <si>
    <t xml:space="preserve">Risk Treatment Strategy (Mitigate, Accept, Transfer, Avoid)</t>
  </si>
  <si>
    <t xml:space="preserve">Action Owner (Job Title)</t>
  </si>
  <si>
    <t xml:space="preserve">Inherent Rating</t>
  </si>
  <si>
    <t xml:space="preserve">Residual Rating</t>
  </si>
  <si>
    <t xml:space="preserve">Risk Reduction</t>
  </si>
  <si>
    <t xml:space="preserve">Risk Owner (Business Role)</t>
  </si>
  <si>
    <t xml:space="preserve">Date Identified</t>
  </si>
  <si>
    <t xml:space="preserve">Status</t>
  </si>
  <si>
    <t xml:space="preserve">Next Review Date</t>
  </si>
  <si>
    <t xml:space="preserve">R-001</t>
  </si>
  <si>
    <t xml:space="preserve">Google Workspace, Slack and GitHub user accounts (Confidential data). Vulnerability: human susceptibility to credential-harvesting, compounded by relay-able authenticator-app one-time codes on standard accounts and only 60% policy acknowledgement recorded in CGI-TRK-001.</t>
  </si>
  <si>
    <t xml:space="preserve">An external financially motivated attacker sends a credential-harvesting email impersonating Google Workspace to Cypher Group personnel; a user enters their password and one-time code into an attacker-in-the-middle proxy, resulting in session takeover of a corporate account, leading to unauthorised access to Confidential customer correspondence, business email compromise against Finance, and attempted lateral movement toward GitHub and AWS.</t>
  </si>
  <si>
    <t xml:space="preserve">CGI-POL-002 4.3.1 MFA mandated on Google Workspace, Slack, GitHub, AWS, Stripe and the production database; CGI-POL-002 4.3.3 phishing-resistant FIDO2/WebAuthn or device-bound passkey mandated for all privileged accounts; CGI-POL-002 4.3.4 passkey-first factor preference for standard accounts; CGI-POL-002 4.3.5 SMS and voice prohibited as MFA factors; CGI-POL-002 4.3.7 unsolicited MFA prompts reportable within one hour; CGI-POL-002 4.1.5 and 4.1.6 password uniqueness and breach-list screening; CGI-POL-002 4.2.1 credentials held only in the password manager; CGI-POL-002 4.6.1 SSO through Google Workspace to centralise revocation; CGI-POL-002 4.6.2 lockout after 10 failed attempts; CGI-POL-001 4.7.3 suspected phishing forwarded, not interacted with; CGI-POL-001 4.3.1 credential sharing prohibited; CGI-POL-003 4.3.6 security awareness induction within 10 business days; CGI-POL-005 5.2.2 one-hour reporting obligation; CGI-POL-005 5.4 SEV2 acknowledgement within 30 minutes and containment within 8 hours.</t>
  </si>
  <si>
    <t xml:space="preserve">Mitigate</t>
  </si>
  <si>
    <t xml:space="preserve">IT Operations Manager</t>
  </si>
  <si>
    <t xml:space="preserve">Chief Technology Officer</t>
  </si>
  <si>
    <t xml:space="preserve">2026-09-08</t>
  </si>
  <si>
    <t xml:space="preserve">In Treatment</t>
  </si>
  <si>
    <t xml:space="preserve">2026-12-15</t>
  </si>
  <si>
    <t xml:space="preserve">R-002</t>
  </si>
  <si>
    <t xml:space="preserve">Employee endpoints, both company-owned and personally owned under the BYOD provisions of CGI-POL-001 4.4, and any network-reachable corporate file store. Vulnerability: operating system and browser patches permitted to lag by up to 14 days; no documented backup or restore-testing obligation exists anywhere in the CGI-POL pack (control gap CG-01).</t>
  </si>
  <si>
    <t xml:space="preserve">A ransomware affiliate delivers a loader through a malicious document or a drive-by exploit against an unpatched browser on a Cypher Group workstation, resulting in encryption of local and synchronised corporate data and attempted enumeration of reachable network shares and cloud storage, leading to loss of working data, extortion demand, service degradation for approximately 200 SMB customers and an unquantified recovery time because no restore has ever been tested.</t>
  </si>
  <si>
    <t xml:space="preserve">CGI-POL-001 4.4.3 operating system and browser security updates applied within 14 calendar days of release; CGI-POL-001 4.4.1 full-disk encryption mandatory on every device; CGI-POL-001 4.4.2 automatic screen lock at 10 minutes; CGI-POL-001 4.4.4 jailbroken or rooted devices prohibited; CGI-POL-001 4.2.3 prohibition on disabling endpoint protection, disk encryption or logging; CGI-POL-001 4.6.2 prohibition on unlicensed or untrusted software; CGI-POL-002 4.4.1 separate administrative accounts, not used for email or browsing, so an infected user session holds no infrastructure rights; CGI-POL-003 4.1.1 least privilege and 4.2.1 role profiles excluding Engineering from AWS production; CGI-POL-004 4.2 encryption at rest required for Confidential and Restricted data; CGI-POL-005 5.4 SEV1 acknowledgement within 15 minutes and containment within 4 hours; CGI-POL-005 5.5 defined contain, eradicate and recover sequence with a timestamped decision log.</t>
  </si>
  <si>
    <t xml:space="preserve">Mitigate + Transfer</t>
  </si>
  <si>
    <t xml:space="preserve">R-003</t>
  </si>
  <si>
    <t xml:space="preserve">Customer account data, payment metadata and source code (Confidential and Restricted under CGI-POL-004 4.1.1). Vulnerability: a resigning employee retains legitimate access during the notice period, and monitoring under CGI-POL-001 4.10.1 is metadata-level only, with no data loss prevention tooling deployed (control gap CG-05).</t>
  </si>
  <si>
    <t xml:space="preserve">A departing employee, acting on commercial motive before their effective leaving date, uses their legitimate role-profile access to export customer account records and internal documentation to a personal cloud storage account and a removable drive, resulting in unauthorised extraction of Restricted aggregated personal data, leading to a notifiable personal data breach under GDPR Article 33, contractual breach with affected customers, and potential competitive harm.</t>
  </si>
  <si>
    <t xml:space="preserve">CGI-POL-003 4.5.1 immediate notification to IT and the CTO on resignation or termination decision; CGI-POL-003 4.5.2 all access revoked within four hours of the effective termination time; CGI-POL-003 4.5.3 involuntary terminations revoked simultaneously with the notification meeting; CGI-POL-003 4.5.4 shared credentials rotated within four hours; CGI-POL-003 4.5.5 API keys, deploy keys and personal access tokens rotated within five business days; CGI-POL-003 4.5.6 accounts suspended and preserved for 90 days rather than deleted, protecting investigative evidence; CGI-POL-003 4.5.9 mandatory evidenced offboarding checklist; CGI-POL-003 4.7.1 quarterly privileged access review and 4.7.3 monthly orphaned account reconciliation; CGI-POL-003 4.1.1 and 4.1.2 least privilege and need to know; CGI-POL-003 4.2.1 role profiles excluding Sales and Customer Success from source code, AWS and Stripe; CGI-POL-001 4.11.2 prohibition on transferring company information to personal accounts or storage at any time; CGI-POL-001 4.8.1 removable media prohibited for Confidential and Restricted data without written CTO approval; CGI-POL-001 4.10 monitoring notice, which is the legal basis that makes authentication and file-access monitoring usable as a detective control; CGI-POL-004 4.2 Handling Matrix, prohibiting Restricted data on removable media outright and requiring data owner plus CTO approval for external sharing; CGI-POL-004 4.1.3 aggregation rule reclassifying a bulk customer export as Restricted.</t>
  </si>
  <si>
    <t xml:space="preserve">Head of People and Operations</t>
  </si>
  <si>
    <t xml:space="preserve">Head of Customer Success</t>
  </si>
  <si>
    <t xml:space="preserve">2027-03-15</t>
  </si>
  <si>
    <t xml:space="preserve">R-004</t>
  </si>
  <si>
    <t xml:space="preserve">The internet-facing production application programming interface (API) of the Cypher Group SaaS platform, and the multi-tenant production database behind it. Vulnerability: no secure development, code review, change management or vulnerability management policy exists in the CGI-POL pack (control gap CG-02), so authorisation logic is unverified and no scanning cadence is mandated.</t>
  </si>
  <si>
    <t xml:space="preserve">An unauthenticated or low-privilege external attacker probes the production API and discovers a broken object-level authorisation flaw allowing customer identifiers to be manipulated across tenant boundaries, resulting in the ability to enumerate and retrieve the account data of customers other than their own, leading to a cross-tenant personal data breach affecting a substantial share of the approximately 200 customer base, mandatory notification under GDPR Articles 33 and 34, and loss of the enterprise deals currently held at security review.</t>
  </si>
  <si>
    <t xml:space="preserve">CGI-POL-002 4.5.1 service account credentials and API keys rotated at least every 180 days and immediately on suspected compromise; CGI-POL-002 4.5.2 GitHub secret scanning and push protection maintained on all repositories; CGI-POL-002 4.5.3 any committed secret treated as compromised and rotated, not merely removed from history; CGI-POL-002 4.5.4 service accounts granted minimum permissions with a named human owner; CGI-POL-004 4.2 encryption in transit required for every classification above Public; CGI-POL-004 4.1.4 payment card numbers never stored by Cypher Group, limiting the maximum data at risk; CGI-POL-003 4.2.1 role profiles restricting production database access to on-call Engineering only; CGI-POL-005 5.1.1 mandatory reporting of unexpected system behaviour, unexplained changes or new accounts; CGI-POL-005 5.4 SEV1 classification with four-hour containment target; CGI-POL-005 5.6.3 defined GDPR 72-hour supervisory authority notification path. ASSESSED AS MATERIALLY INSUFFICIENT - see control gap CG-02.</t>
  </si>
  <si>
    <t xml:space="preserve">Open</t>
  </si>
  <si>
    <t xml:space="preserve">R-005</t>
  </si>
  <si>
    <t xml:space="preserve">AWS production environment: Simple Storage Service (S3) buckets holding customer data exports and backups, security group network rules, and Identity and Access Management (IAM) policies. Vulnerability: the policy pack governs who may change AWS but defines no secure baseline for how it must be configured, and no automated configuration monitoring or drift detection exists (control gap CG-03).</t>
  </si>
  <si>
    <t xml:space="preserve">An administrator with legitimate AWS access misconfigures an S3 bucket policy or access control list while troubleshooting, or provisions a new bucket without the account-level public access block, resulting in customer account data and database exports becoming readable from the public internet without authentication, leading to indexed exposure of Restricted aggregated personal data, discovery by a third party or researcher rather than by Cypher Group, notification obligations under GDPR Articles 33 and 34, and severe reputational damage of the category most commonly reported in the technology press.</t>
  </si>
  <si>
    <t xml:space="preserve">CGI-POL-004 4.2 Handling Matrix requiring encryption at rest for Confidential and Restricted data, restricting Restricted data to named approved systems listed by the data owner, and requiring named-individual access approved by the data owner and the CTO; CGI-POL-004 4.1.3 aggregation rule classifying bulk customer exports as Restricted and therefore subject to the strictest handling row; CGI-POL-002 4.3.1 MFA mandated on AWS; CGI-POL-002 4.3.3 phishing-resistant factor mandated for the privileged AWS accounts that can alter bucket policy; CGI-POL-002 4.4.1 separate administrative accounts; CGI-POL-002 4.4.3 AWS root protected by hardware MFA, sealed under CTO control, with alerting on any use; CGI-POL-003 4.2.1 role profiles excluding non-on-call Engineering, Sales, Finance and Customer Success from AWS production; CGI-POL-003 4.7.1 quarterly privileged access review with evidenced approval or removal decisions; CGI-POL-003 4.1.5 mandatory ticket for every access change, preserving the audit trail; CGI-POL-001 4.2.3 prohibition on circumventing or degrading security controls including logging; CGI-POL-005 5.1.1 mandatory reporting of unexplained configuration change. PREVENTIVE COVERAGE ONLY - no detective control exists. See control gap CG-03.</t>
  </si>
  <si>
    <t xml:space="preserve">Risk Scoring Legend</t>
  </si>
  <si>
    <t xml:space="preserve">Risk Score = Likelihood x Impact, scored 1-5 on each axis, giving 1-25. Calculated twice: inherent (controls assumed absent) and residual (existing, verified controls credited).</t>
  </si>
  <si>
    <t xml:space="preserve">1. Likelihood scale - probability of occurrence within 12 months</t>
  </si>
  <si>
    <t xml:space="preserve">Score</t>
  </si>
  <si>
    <t xml:space="preserve">Label</t>
  </si>
  <si>
    <t xml:space="preserve">Probability band</t>
  </si>
  <si>
    <t xml:space="preserve">Frequency anchor</t>
  </si>
  <si>
    <t xml:space="preserve">Evidence anchor</t>
  </si>
  <si>
    <t xml:space="preserve">Rare</t>
  </si>
  <si>
    <t xml:space="preserve">&lt; 5%</t>
  </si>
  <si>
    <t xml:space="preserve">No more than once in 20+ years</t>
  </si>
  <si>
    <t xml:space="preserve">No known occurrence in comparable organisations; strong preventive control verified as operating</t>
  </si>
  <si>
    <t xml:space="preserve">Unlikely</t>
  </si>
  <si>
    <t xml:space="preserve">5% - 20%</t>
  </si>
  <si>
    <t xml:space="preserve">Roughly once in 5 to 20 years</t>
  </si>
  <si>
    <t xml:space="preserve">Occurs occasionally in the sector; effective preventive controls verified in place</t>
  </si>
  <si>
    <t xml:space="preserve">Possible</t>
  </si>
  <si>
    <t xml:space="preserve">20% - 50%</t>
  </si>
  <si>
    <t xml:space="preserve">Roughly once in 2 to 5 years</t>
  </si>
  <si>
    <t xml:space="preserve">Occurs regularly in the sector; partial control coverage or a known residual weakness</t>
  </si>
  <si>
    <t xml:space="preserve">Likely</t>
  </si>
  <si>
    <t xml:space="preserve">50% - 80%</t>
  </si>
  <si>
    <t xml:space="preserve">Expected at least once in the period</t>
  </si>
  <si>
    <t xml:space="preserve">Common in the sector; a known, unmitigated weakness exists</t>
  </si>
  <si>
    <t xml:space="preserve">Almost Certain</t>
  </si>
  <si>
    <t xml:space="preserve">&gt; 80%</t>
  </si>
  <si>
    <t xml:space="preserve">Expected one or more times in the period</t>
  </si>
  <si>
    <t xml:space="preserve">Already occurring, actively targeted, or an exploitable weakness is confirmed present</t>
  </si>
  <si>
    <t xml:space="preserve">2. Impact scale - score the HIGHEST dimension reached, never the average</t>
  </si>
  <si>
    <t xml:space="preserve">Financial</t>
  </si>
  <si>
    <t xml:space="preserve">Regulatory / Legal</t>
  </si>
  <si>
    <t xml:space="preserve">Customer &amp; Contractual</t>
  </si>
  <si>
    <t xml:space="preserve">Operational</t>
  </si>
  <si>
    <t xml:space="preserve">Reputational</t>
  </si>
  <si>
    <t xml:space="preserve">Insignificant</t>
  </si>
  <si>
    <t xml:space="preserve">&lt; USD 10k (&lt; 0.3% ARR)</t>
  </si>
  <si>
    <t xml:space="preserve">None</t>
  </si>
  <si>
    <t xml:space="preserve">No customer aware; no notification</t>
  </si>
  <si>
    <t xml:space="preserve">&lt; 1 hour service disruption</t>
  </si>
  <si>
    <t xml:space="preserve">Internal awareness only</t>
  </si>
  <si>
    <t xml:space="preserve">Minor</t>
  </si>
  <si>
    <t xml:space="preserve">USD 10k - 50k (0.3% - 1.4% ARR)</t>
  </si>
  <si>
    <t xml:space="preserve">Internal finding only; no external report</t>
  </si>
  <si>
    <t xml:space="preserve">A single customer informed; no contractual breach</t>
  </si>
  <si>
    <t xml:space="preserve">1 - 4 hours disruption</t>
  </si>
  <si>
    <t xml:space="preserve">Limited internal or single-customer concern</t>
  </si>
  <si>
    <t xml:space="preserve">Moderate</t>
  </si>
  <si>
    <t xml:space="preserve">USD 50k - 250k (1.4% - 7% ARR)</t>
  </si>
  <si>
    <t xml:space="preserve">Reportable personal data breach under GDPR Art. 33; no fine expected</t>
  </si>
  <si>
    <t xml:space="preserve">Multiple customers notified; some churn; one deal lost at security review</t>
  </si>
  <si>
    <t xml:space="preserve">4 - 24 hours disruption or SLA breach</t>
  </si>
  <si>
    <t xml:space="preserve">Industry or local press; questions in sales cycles</t>
  </si>
  <si>
    <t xml:space="preserve">Major</t>
  </si>
  <si>
    <t xml:space="preserve">USD 250k - 1M (7% - 28% ARR)</t>
  </si>
  <si>
    <t xml:space="preserve">Regulatory investigation; GDPR Art. 33 and Art. 34 notification; fine plausible</t>
  </si>
  <si>
    <t xml:space="preserve">Mass customer notification; material churn; contractual penalties invoked</t>
  </si>
  <si>
    <t xml:space="preserve">1 - 3 days disruption</t>
  </si>
  <si>
    <t xml:space="preserve">Trade press coverage; named in breach reporting</t>
  </si>
  <si>
    <t xml:space="preserve">Severe</t>
  </si>
  <si>
    <t xml:space="preserve">&gt; USD 1M (&gt; 28% ARR)</t>
  </si>
  <si>
    <t xml:space="preserve">Fine at the GDPR 2% or 4% turnover tier; enforcement action</t>
  </si>
  <si>
    <t xml:space="preserve">Contract terminations at scale; loss of ability to sell to enterprise buyers</t>
  </si>
  <si>
    <t xml:space="preserve">&gt; 3 days disruption or unrecoverable data loss</t>
  </si>
  <si>
    <t xml:space="preserve">National coverage; existential reputational damage</t>
  </si>
  <si>
    <t xml:space="preserve">3. Qualitative risk thresholds</t>
  </si>
  <si>
    <t xml:space="preserve">Score range</t>
  </si>
  <si>
    <t xml:space="preserve">Rating</t>
  </si>
  <si>
    <t xml:space="preserve">Meaning</t>
  </si>
  <si>
    <t xml:space="preserve">Acceptance authority</t>
  </si>
  <si>
    <t xml:space="preserve">Mandatory review cadence</t>
  </si>
  <si>
    <t xml:space="preserve">1 - 4</t>
  </si>
  <si>
    <t xml:space="preserve">Low</t>
  </si>
  <si>
    <t xml:space="preserve">Tolerable. Manage through routine operations.</t>
  </si>
  <si>
    <t xml:space="preserve">Department Head</t>
  </si>
  <si>
    <t xml:space="preserve">Annual</t>
  </si>
  <si>
    <t xml:space="preserve">5 - 9</t>
  </si>
  <si>
    <t xml:space="preserve">Medium</t>
  </si>
  <si>
    <t xml:space="preserve">Tolerable with active management and a named owner.</t>
  </si>
  <si>
    <t xml:space="preserve">Semi-annual</t>
  </si>
  <si>
    <t xml:space="preserve">10 - 14</t>
  </si>
  <si>
    <t xml:space="preserve">High</t>
  </si>
  <si>
    <t xml:space="preserve">Not tolerable without a funded, dated treatment plan.</t>
  </si>
  <si>
    <t xml:space="preserve">Chief Executive Officer</t>
  </si>
  <si>
    <t xml:space="preserve">Quarterly</t>
  </si>
  <si>
    <t xml:space="preserve">15 - 25</t>
  </si>
  <si>
    <t xml:space="preserve">Critical</t>
  </si>
  <si>
    <t xml:space="preserve">Not tolerable. Requires immediate treatment and executive visibility.</t>
  </si>
  <si>
    <t xml:space="preserve">CEO, with Board notification</t>
  </si>
  <si>
    <t xml:space="preserve">Quarterly, and on any material change</t>
  </si>
  <si>
    <t xml:space="preserve">4. Risk treatment strategy definitions</t>
  </si>
  <si>
    <t xml:space="preserve">Strategy</t>
  </si>
  <si>
    <t xml:space="preserve">Definition</t>
  </si>
  <si>
    <t xml:space="preserve">When it is the right answer</t>
  </si>
  <si>
    <t xml:space="preserve">Reduce likelihood, impact or both by implementing or strengthening controls.</t>
  </si>
  <si>
    <t xml:space="preserve">The activity is necessary and the risk can be economically reduced.</t>
  </si>
  <si>
    <t xml:space="preserve">Transfer</t>
  </si>
  <si>
    <t xml:space="preserve">Shift financial or operational consequence to a third party via insurance or contract. Reputational and regulatory liability CANNOT be transferred.</t>
  </si>
  <si>
    <t xml:space="preserve">Residual financial exposure remains material after mitigation.</t>
  </si>
  <si>
    <t xml:space="preserve">Avoid</t>
  </si>
  <si>
    <t xml:space="preserve">Stop, do not start, or redesign the activity that creates the risk.</t>
  </si>
  <si>
    <t xml:space="preserve">The risk is disproportionate to the business value of the activity.</t>
  </si>
  <si>
    <t xml:space="preserve">Accept</t>
  </si>
  <si>
    <t xml:space="preserve">Formally retain the risk, by a named owner with the authority to do so, with justification, compensating controls and an expiry date.</t>
  </si>
  <si>
    <t xml:space="preserve">Residual risk is within appetite, or treatment cost exceeds the risk reduction.</t>
  </si>
  <si>
    <t xml:space="preserve">Defensibility note. A 5 x 5 multiplicative model can only produce 1, 2, 3, 4, 5, 6, 8, 9, 10, 12, 15, 16, 20 or 25.</t>
  </si>
  <si>
    <t xml:space="preserve">The bands above are drawn so every achievable value falls into exactly one band, with no ambiguous boundary.</t>
  </si>
  <si>
    <t xml:space="preserve">Range compression is the standard criticism of 5 x 5 matrices. Volunteer it before an interviewer raises it.</t>
  </si>
  <si>
    <t xml:space="preserve">Accepted risk is not ignored risk. An acceptance with no named owner, justification and expiry date is an undocumented gap.</t>
  </si>
  <si>
    <t xml:space="preserve">Residual scoring rationale and control effectiveness</t>
  </si>
  <si>
    <t xml:space="preserve">The register records WHAT the scores are. This sheet records WHY - the part an auditor or an interviewer will actually interrogate.</t>
  </si>
  <si>
    <t xml:space="preserve">Inherent</t>
  </si>
  <si>
    <t xml:space="preserve">Inherent rating</t>
  </si>
  <si>
    <t xml:space="preserve">Residual</t>
  </si>
  <si>
    <t xml:space="preserve">Residual rating</t>
  </si>
  <si>
    <t xml:space="preserve">Reduction</t>
  </si>
  <si>
    <t xml:space="preserve">Risk owner (accountable business role)</t>
  </si>
  <si>
    <t xml:space="preserve">Justification for the residual score</t>
  </si>
  <si>
    <t xml:space="preserve">Likelihood 5 to 2. Phishing attempts against a 50-person SaaS company are continuous, so inherent likelihood is Almost Certain. CGI-POL-002 4.3.3 makes privileged accounts cryptographically unphishable - a FIDO2 authenticator will not release a credential to a proxy domain, so the highest-value path is closed by design rather than by vigilance. Likelihood does not reach 1 because 4.3.4 still permits authenticator-app one-time codes on standard accounts, and those remain relay-able. Impact 4 to 3. A standard-account compromise no longer reaches infrastructure, because 4.4.1 separates administrative accounts and CGI-POL-003 4.2.1 role profiles bound what any one account can see. The one-hour reporting duty plus SSO revocation shortens dwell time from weeks to hours. Impact does not fall below 3 because a compromised mailbox still contains Confidential customer correspondence.</t>
  </si>
  <si>
    <t xml:space="preserve">Likelihood 4 to 2. The 14-day patch obligation, the prohibition on disabling endpoint protection, the prohibition on untrusted software and the separation of administrative accounts together remove the common delivery and escalation paths. Impact 5 to 4, deliberately only one point. This is the most important judgement in the register. Full-disk encryption protects data at rest against device theft but does nothing against ransomware, which encrypts data the logged-in user can already read. Least privilege limits spread. But the CGI-POL pack contains no backup or restore-testing obligation at all, so recovery time remains unevidenced and an unrecoverable-data scenario cannot be excluded. Crediting a lower impact here would be crediting a control that does not exist. Residual impact stays at 4 until CG-01 is closed.</t>
  </si>
  <si>
    <t xml:space="preserve">Likelihood 3 to 2. The four-hour revocation window, simultaneous revocation on involuntary termination, monthly orphaned-account reconciliation and the explicit monitoring notice collectively remove the post-departure window and create a credible deterrent. Likelihood cannot reach 1 because the pre-departure window, during which access is entirely legitimate, cannot be closed by an access control. Impact 4 to 3. Role profiles cap what any single leaver can reach, and the aggregation rule places bulk exports behind named-list approval by the data owner and the CTO. Impact does not fall further because no data loss prevention tooling exists (CG-05), so detection of an exfiltration in progress is not assured - it is reconstructed after the fact from metadata.</t>
  </si>
  <si>
    <t xml:space="preserve">Likelihood 4 to 3 only. The Project 1 controls address credential-borne API abuse - key rotation, secret scanning, least-privilege service accounts. They do not address authorisation logic defects, which is the actual vulnerability class in this scenario. No policy in the pack requires code review, security testing, dependency scanning or a vulnerability remediation SLA (CG-02). Impact 5 to 4. Encryption in transit, the exclusion of card numbers from Cypher's systems and the SEV1 four-hour containment target reduce both the maximum data at risk and the exposure window. This risk remains High after treatment and is the single strongest argument in the register for the next tranche of investment. Recording that honestly is more valuable than manufacturing a green score.</t>
  </si>
  <si>
    <t xml:space="preserve">Likelihood 4 to 3 only. Quarterly privileged access review, the role profiles that exclude most of the company from AWS production, and mandatory ticketing reduce the number of hands able to cause the misconfiguration and preserve an audit trail. But every one of these is a preventive administrative control acting on people. There is no technical guardrail and no detective control - no account-level S3 Block Public Access enforcement, no AWS Config rules, no drift alerting (CG-03). A misconfiguration made by an authorised administrator would therefore still occur and would not be detected internally. Impact 5 to 4. The encryption-at-rest requirement and the named-approved-systems restriction limit both the readability and the concentration of exposed data.</t>
  </si>
  <si>
    <t xml:space="preserve">Control effectiveness caveat (applies to the whole register)</t>
  </si>
  <si>
    <t xml:space="preserve">Every residual score above is credited at PARTIAL rather than full control strength, for one documented reason: CGI-TRK-001 records the policy pack as 60% acknowledged as at 05 September 2026, with security awareness training at 60% completion and MFA coverage at 80%. A policy that is approved but not acknowledged, and a control that is mandated but not technically enforced, do not reduce residual risk at full value. When the tracker reaches 100% acknowledgement, 100% MFA coverage and a completed awareness programme, this register shall be re-scored against the target residual scores on 05_Treatment_Plan. The principle: score the control that is OPERATING, not the control that is WRITTEN.</t>
  </si>
  <si>
    <t xml:space="preserve">Risk treatment plan</t>
  </si>
  <si>
    <t xml:space="preserve">Every action is dated, costed, owned by a job title, and carries a target residual score.</t>
  </si>
  <si>
    <t xml:space="preserve">Treatment ID</t>
  </si>
  <si>
    <t xml:space="preserve">Action</t>
  </si>
  <si>
    <t xml:space="preserve">Control type</t>
  </si>
  <si>
    <t xml:space="preserve">Existing policy anchor</t>
  </si>
  <si>
    <t xml:space="preserve">Estimated cost (USD)</t>
  </si>
  <si>
    <t xml:space="preserve">Action owner (job title)</t>
  </si>
  <si>
    <t xml:space="preserve">Target completion</t>
  </si>
  <si>
    <t xml:space="preserve">Target residual score</t>
  </si>
  <si>
    <t xml:space="preserve">TP-01</t>
  </si>
  <si>
    <t xml:space="preserve">Issue FIDO2 hardware security keys or enforce device-bound passkeys for all 50 personnel, removing authenticator-app one-time codes as an accepted factor for standard accounts.</t>
  </si>
  <si>
    <t xml:space="preserve">Preventive</t>
  </si>
  <si>
    <t xml:space="preserve">CGI-POL-002 4.3.3, 4.3.4</t>
  </si>
  <si>
    <t xml:space="preserve">2026-10-31</t>
  </si>
  <si>
    <t xml:space="preserve">TP-02</t>
  </si>
  <si>
    <t xml:space="preserve">Drive CGI-TRK-001 to 100% policy acknowledgement and 100% security awareness training completion; introduce quarterly simulated phishing with reporting-rate as the metric, not click-rate alone.</t>
  </si>
  <si>
    <t xml:space="preserve">Preventive, Detective</t>
  </si>
  <si>
    <t xml:space="preserve">CGI-POL-001 6.2; CGI-POL-003 4.3.6</t>
  </si>
  <si>
    <t xml:space="preserve">2026-11-30</t>
  </si>
  <si>
    <t xml:space="preserve">TP-03</t>
  </si>
  <si>
    <t xml:space="preserve">Author and approve CGI-POL-006 Backup and Recovery Policy mandating defined RPO and RTO, immutable or offline backup copies, and a restore test performed and evidenced at least quarterly. Closes CG-01.</t>
  </si>
  <si>
    <t xml:space="preserve">Corrective</t>
  </si>
  <si>
    <t xml:space="preserve">New policy - gap CG-01</t>
  </si>
  <si>
    <t xml:space="preserve">TP-04</t>
  </si>
  <si>
    <t xml:space="preserve">Procure cyber insurance covering incident response costs, business interruption and extortion, with a limit informed by Impact scale band 4 to 5. Reputational and regulatory liability are not transferable.</t>
  </si>
  <si>
    <t xml:space="preserve">Assumption A-05</t>
  </si>
  <si>
    <t xml:space="preserve">TP-05</t>
  </si>
  <si>
    <t xml:space="preserve">Deploy centrally managed endpoint detection and response with enforced patch compliance reporting, converting the 14-day patch obligation from a written duty into a measurable one.</t>
  </si>
  <si>
    <t xml:space="preserve">CGI-POL-001 4.4.3, 4.2.3</t>
  </si>
  <si>
    <t xml:space="preserve">2027-01-31</t>
  </si>
  <si>
    <t xml:space="preserve">TP-06</t>
  </si>
  <si>
    <t xml:space="preserve">Enable Google Workspace and endpoint data loss prevention rules for bulk export of Confidential and Restricted data, and add an automated alert on large downloads by any account in a notice period. Closes CG-05.</t>
  </si>
  <si>
    <t xml:space="preserve">Detective</t>
  </si>
  <si>
    <t xml:space="preserve">CGI-POL-001 4.10.1; CGI-POL-004 4.2</t>
  </si>
  <si>
    <t xml:space="preserve">TP-07</t>
  </si>
  <si>
    <t xml:space="preserve">Author and approve CGI-POL-007 Secure Development and Change Management Policy, mandating peer code review, authorisation testing on every tenant-scoped endpoint, and segregation between development and production. Closes part of CG-02.</t>
  </si>
  <si>
    <t xml:space="preserve">New policy - gap CG-02</t>
  </si>
  <si>
    <t xml:space="preserve">TP-08</t>
  </si>
  <si>
    <t xml:space="preserve">Author and approve CGI-POL-008 Vulnerability Management Policy with remediation SLAs by severity; enable dependency scanning; commission an independent API penetration test with retest.</t>
  </si>
  <si>
    <t xml:space="preserve">TP-09</t>
  </si>
  <si>
    <t xml:space="preserve">Enable AWS account-level S3 Block Public Access, apply a Service Control Policy preventing its removal, and enable AWS Config rules with alerting for public storage, unencrypted volumes and unrestricted security groups. Closes CG-03.</t>
  </si>
  <si>
    <t xml:space="preserve">CGI-POL-004 4.2</t>
  </si>
  <si>
    <t xml:space="preserve">TP-10</t>
  </si>
  <si>
    <t xml:space="preserve">Author a cloud configuration baseline standard aligned to the CIS Amazon Web Services Foundations Benchmark, and assess against it quarterly with evidenced results.</t>
  </si>
  <si>
    <t xml:space="preserve">New standard - gap CG-03</t>
  </si>
  <si>
    <t xml:space="preserve">2027-02-28</t>
  </si>
  <si>
    <t xml:space="preserve">Total, year one</t>
  </si>
  <si>
    <t xml:space="preserve">Formally accepted risk, and risk avoided by design</t>
  </si>
  <si>
    <t xml:space="preserve">An acceptance with no named authority, no justification and no expiry date is not an acceptance - it is an undocumented gap, and it is the finding auditors write up most often.</t>
  </si>
  <si>
    <t xml:space="preserve">Formally accepted risk</t>
  </si>
  <si>
    <t xml:space="preserve">Acceptance ID</t>
  </si>
  <si>
    <t xml:space="preserve">Related risk</t>
  </si>
  <si>
    <t xml:space="preserve">What is accepted</t>
  </si>
  <si>
    <t xml:space="preserve">Justification</t>
  </si>
  <si>
    <t xml:space="preserve">Compensating control</t>
  </si>
  <si>
    <t xml:space="preserve">Accepting authority</t>
  </si>
  <si>
    <t xml:space="preserve">Expiry date</t>
  </si>
  <si>
    <t xml:space="preserve">Review</t>
  </si>
  <si>
    <t xml:space="preserve">ACC-001</t>
  </si>
  <si>
    <t xml:space="preserve">R-001 (sub-scenario)</t>
  </si>
  <si>
    <t xml:space="preserve">Continued use of SMS as an MFA factor by two named Finance users on the legacy billing portal, contrary to CGI-POL-002 4.3.5. Carried forward from Exception Register EXC-001.</t>
  </si>
  <si>
    <t xml:space="preserve">The legacy billing portal supports no alternative factor. Migration to a supporting platform is planned for Q1 2027. Removing access would halt customer invoicing.</t>
  </si>
  <si>
    <t xml:space="preserve">Access limited to two named users; login alerting enabled; monthly access review; the accounts hold no Restricted data.</t>
  </si>
  <si>
    <t xml:space="preserve">Priya Raman, Chief Technology Officer (Medium residual - within CTO acceptance authority)</t>
  </si>
  <si>
    <t xml:space="preserve">2026-09-03</t>
  </si>
  <si>
    <t xml:space="preserve">2027-03-03</t>
  </si>
  <si>
    <t xml:space="preserve">At expiry, or immediately on migration completion</t>
  </si>
  <si>
    <t xml:space="preserve">Risk avoided by design</t>
  </si>
  <si>
    <t xml:space="preserve">Avoidance ID</t>
  </si>
  <si>
    <t xml:space="preserve">Risk avoided</t>
  </si>
  <si>
    <t xml:space="preserve">Decision</t>
  </si>
  <si>
    <t xml:space="preserve">Policy anchor</t>
  </si>
  <si>
    <t xml:space="preserve">AVD-001</t>
  </si>
  <si>
    <t xml:space="preserve">Storage, processing and breach of primary account numbers (payment card data), which would place Cypher Group in PCI DSS scope and raise the maximum credible impact of R-004 and R-005 to score 5.</t>
  </si>
  <si>
    <t xml:space="preserve">Cypher Group does not store card numbers. All card data is held by Stripe; Cypher retains payment metadata only. The activity that would create the risk is not performed.</t>
  </si>
  <si>
    <t xml:space="preserve">CGI-POL-004 4.1.4</t>
  </si>
  <si>
    <t xml:space="preserve">Control gap register</t>
  </si>
  <si>
    <t xml:space="preserve">Gaps where the policy set provides no coverage. Each one CAPS how far a residual score can defensibly fall. This sheet is why the register is an assessment and not a formality.</t>
  </si>
  <si>
    <t xml:space="preserve">Gap ID</t>
  </si>
  <si>
    <t xml:space="preserve">Gap</t>
  </si>
  <si>
    <t xml:space="preserve">Risks affected</t>
  </si>
  <si>
    <t xml:space="preserve">Consequence for scoring</t>
  </si>
  <si>
    <t xml:space="preserve">Closure action</t>
  </si>
  <si>
    <t xml:space="preserve">CG-01</t>
  </si>
  <si>
    <t xml:space="preserve">No backup, recovery, RPO/RTO or restore-testing obligation anywhere in CGI-POL-001 to 005.</t>
  </si>
  <si>
    <t xml:space="preserve">Residual impact held at 4; cannot fall to 3 without evidenced restore capability.</t>
  </si>
  <si>
    <t xml:space="preserve">CG-02</t>
  </si>
  <si>
    <t xml:space="preserve">No secure development, code review, change management or vulnerability management policy.</t>
  </si>
  <si>
    <t xml:space="preserve">Residual likelihood held at 3; the existing controls do not address authorisation logic defects.</t>
  </si>
  <si>
    <t xml:space="preserve">TP-07, TP-08</t>
  </si>
  <si>
    <t xml:space="preserve">CG-03</t>
  </si>
  <si>
    <t xml:space="preserve">No cloud configuration baseline and no automated configuration monitoring or drift detection.</t>
  </si>
  <si>
    <t xml:space="preserve">Residual likelihood held at 3; all coverage is preventive and administrative, with no detective control.</t>
  </si>
  <si>
    <t xml:space="preserve">TP-09, TP-10</t>
  </si>
  <si>
    <t xml:space="preserve">CG-04</t>
  </si>
  <si>
    <t xml:space="preserve">Security awareness training is mandated at induction only (CGI-POL-003 4.3.6); no recurring programme or simulation exists.</t>
  </si>
  <si>
    <t xml:space="preserve">R-001, R-003</t>
  </si>
  <si>
    <t xml:space="preserve">Contributes to the partial control-effectiveness discount applied across the register.</t>
  </si>
  <si>
    <t xml:space="preserve">CG-05</t>
  </si>
  <si>
    <t xml:space="preserve">No data loss prevention tooling; monitoring under CGI-POL-001 4.10.1 is metadata-level only.</t>
  </si>
  <si>
    <t xml:space="preserve">Residual impact held at 3; exfiltration is reconstructed after the fact rather than interrupted.</t>
  </si>
  <si>
    <t xml:space="preserve">Key risk indicators</t>
  </si>
  <si>
    <t xml:space="preserve">A register is a snapshot. KRIs are what tell you a score has moved before an incident does.</t>
  </si>
  <si>
    <t xml:space="preserve">KRI ID</t>
  </si>
  <si>
    <t xml:space="preserve">Indicator</t>
  </si>
  <si>
    <t xml:space="preserve">Source</t>
  </si>
  <si>
    <t xml:space="preserve">Threshold (green / amber / red)</t>
  </si>
  <si>
    <t xml:space="preserve">Reporting cadence</t>
  </si>
  <si>
    <t xml:space="preserve">Owner</t>
  </si>
  <si>
    <t xml:space="preserve">KRI-01</t>
  </si>
  <si>
    <t xml:space="preserve">Percentage of accounts with a phishing-resistant MFA factor enrolled</t>
  </si>
  <si>
    <t xml:space="preserve">R-001, R-005</t>
  </si>
  <si>
    <t xml:space="preserve">CGI-POL-002 6.2 quarterly MFA coverage report</t>
  </si>
  <si>
    <t xml:space="preserve">Green &gt;= 95% / Amber 80-94% / Red &lt; 80%</t>
  </si>
  <si>
    <t xml:space="preserve">KRI-02</t>
  </si>
  <si>
    <t xml:space="preserve">Policy acknowledgement rate across all personnel</t>
  </si>
  <si>
    <t xml:space="preserve">CGI-TRK-001</t>
  </si>
  <si>
    <t xml:space="preserve">Green 100% / Amber 90-99% / Red &lt; 90%</t>
  </si>
  <si>
    <t xml:space="preserve">Monthly</t>
  </si>
  <si>
    <t xml:space="preserve">KRI-03</t>
  </si>
  <si>
    <t xml:space="preserve">Mean time to revoke all access after effective termination time</t>
  </si>
  <si>
    <t xml:space="preserve">CGI-POL-003 4.5.2 offboarding checklists</t>
  </si>
  <si>
    <t xml:space="preserve">Green &lt;= 4 hours / Amber 4-24 hours / Red &gt; 24 hours</t>
  </si>
  <si>
    <t xml:space="preserve">KRI-04</t>
  </si>
  <si>
    <t xml:space="preserve">Percentage of endpoints with security patches applied within 14 days</t>
  </si>
  <si>
    <t xml:space="preserve">Endpoint management reporting (TP-05)</t>
  </si>
  <si>
    <t xml:space="preserve">Green &gt;= 95% / Amber 85-94% / Red &lt; 85%</t>
  </si>
  <si>
    <t xml:space="preserve">KRI-05</t>
  </si>
  <si>
    <t xml:space="preserve">Number of AWS resources failing the configuration baseline</t>
  </si>
  <si>
    <t xml:space="preserve">AWS Config (TP-09)</t>
  </si>
  <si>
    <t xml:space="preserve">Green 0 / Amber 1-3 / Red &gt; 3</t>
  </si>
  <si>
    <t xml:space="preserve">KRI-06</t>
  </si>
  <si>
    <t xml:space="preserve">Count of orphaned accounts identified in the monthly reconciliation</t>
  </si>
  <si>
    <t xml:space="preserve">CGI-POL-003 4.7.3</t>
  </si>
  <si>
    <t xml:space="preserve">Green 0 / Amber 1-2 / Red &gt; 2</t>
  </si>
  <si>
    <t xml:space="preserve">KRI-07</t>
  </si>
  <si>
    <t xml:space="preserve">Open critical or high vulnerabilities past their remediation SLA</t>
  </si>
  <si>
    <t xml:space="preserve">CGI-POL-008 once approved (TP-08)</t>
  </si>
  <si>
    <t xml:space="preserve">Register Summary</t>
  </si>
  <si>
    <t xml:space="preserve">Every figure below is a live formula reading 02_Risk_Register. Do not type over them.</t>
  </si>
  <si>
    <t xml:space="preserve">Metric</t>
  </si>
  <si>
    <t xml:space="preserve">Risks assessed</t>
  </si>
  <si>
    <t xml:space="preserve">Inherent: Critical</t>
  </si>
  <si>
    <t xml:space="preserve">Inherent: High</t>
  </si>
  <si>
    <t xml:space="preserve">Inherent: Medium</t>
  </si>
  <si>
    <t xml:space="preserve">Inherent: Low</t>
  </si>
  <si>
    <t xml:space="preserve">Aggregate inherent score</t>
  </si>
  <si>
    <t xml:space="preserve">Maximum possible inherent score</t>
  </si>
  <si>
    <t xml:space="preserve">Mean inherent score</t>
  </si>
  <si>
    <t xml:space="preserve">Residual: Critical</t>
  </si>
  <si>
    <t xml:space="preserve">Residual: High</t>
  </si>
  <si>
    <t xml:space="preserve">Residual: Medium</t>
  </si>
  <si>
    <t xml:space="preserve">Residual: Low</t>
  </si>
  <si>
    <t xml:space="preserve">Aggregate residual score</t>
  </si>
  <si>
    <t xml:space="preserve">Mean residual score</t>
  </si>
  <si>
    <t xml:space="preserve">Total risk reduction (points)</t>
  </si>
  <si>
    <t xml:space="preserve">Risk reduction (percentage of inherent)</t>
  </si>
  <si>
    <t xml:space="preserve">Risks remaining above appetite (High or Critical)</t>
  </si>
  <si>
    <t xml:space="preserve">Register rows treated by Mitigation (any form)</t>
  </si>
  <si>
    <t xml:space="preserve">Register rows with a Transfer element</t>
  </si>
  <si>
    <t xml:space="preserve">Formal acceptances recorded (sheet 06)</t>
  </si>
  <si>
    <t xml:space="preserve">Risks avoided by design (sheet 06)</t>
  </si>
  <si>
    <t xml:space="preserve">Control gaps identified (sheet 07)</t>
  </si>
  <si>
    <t xml:space="preserve">Treatment actions raised (sheet 05)</t>
  </si>
  <si>
    <t xml:space="preserve">Estimated treatment cost, year one (USD)</t>
  </si>
  <si>
    <t xml:space="preserve">Headline sentence for leadership - write it here, in one line, in words a CEO could repeat in a board meeting without notes:</t>
  </si>
  <si>
    <t xml:space="preserve">[ONE-SENTENCE HEADLINE]</t>
  </si>
  <si>
    <t xml:space="preserve">Methodology, limitations and honest caveats</t>
  </si>
  <si>
    <t xml:space="preserve">Stating the weaknesses of your own model before an interviewer finds them is what separates a credible analyst from a spreadsheet jockey.</t>
  </si>
  <si>
    <t xml:space="preserve">Method</t>
  </si>
  <si>
    <t xml:space="preserve">Semi-quantitative 5 x 5 assessment per NIST SP 800-30 Rev. 1, with likelihood and impact anchored to written definitions on 03_Scoring_Legend so that scoring is reproducible between assessors. Risk = Likelihood x Impact, computed for inherent and residual states. Existing controls are credited only where they are documented in an approved policy and are technically or procedurally capable of operating.</t>
  </si>
  <si>
    <t xml:space="preserve">Limitations, stated deliberately</t>
  </si>
  <si>
    <t xml:space="preserve">Limitation</t>
  </si>
  <si>
    <t xml:space="preserve">Explanation</t>
  </si>
  <si>
    <t xml:space="preserve">1</t>
  </si>
  <si>
    <t xml:space="preserve">Range compression</t>
  </si>
  <si>
    <t xml:space="preserve">A 5 x 5 multiplicative model cannot distinguish between a rare catastrophic event and a frequent moderate one that share a product. R-002 (4 x 5) and R-001 (5 x 4) both score 20 inherent but demand different treatments. The written rationale, not the number, carries the decision.</t>
  </si>
  <si>
    <t xml:space="preserve">2</t>
  </si>
  <si>
    <t xml:space="preserve">Ordinal arithmetic</t>
  </si>
  <si>
    <t xml:space="preserve">Multiplying ordinal scales is mathematically improper - a 4 is not twice a 2. The scores rank and communicate; they do not measure. Where a real spending decision is at stake, supplement with quantitative analysis (loss event frequency and loss magnitude as distributions, simulated) rather than relying on this alone.</t>
  </si>
  <si>
    <t xml:space="preserve">3</t>
  </si>
  <si>
    <t xml:space="preserve">No internal incident history</t>
  </si>
  <si>
    <t xml:space="preserve">Likelihood estimates draw on sector frequency and on the observed control state, not on Cypher's own incident data, because none exists. Recalibrate once the incident register required by CGI-POL-005 5.7.5 holds 12 months of data.</t>
  </si>
  <si>
    <t xml:space="preserve">4</t>
  </si>
  <si>
    <t xml:space="preserve">Control effectiveness is asserted, not tested</t>
  </si>
  <si>
    <t xml:space="preserve">Residual scores credit controls as designed. No test of operating effectiveness has been performed. Until a control testing programme exists, every residual score should be read as an upper-bound claim.</t>
  </si>
  <si>
    <t xml:space="preserve">5</t>
  </si>
  <si>
    <t xml:space="preserve">Five operational scenarios only. This is not a complete enterprise risk assessment; supply chain, availability, regulatory-change and fraud scenarios are not covered in version 1.0.</t>
  </si>
  <si>
    <t xml:space="preserve">Assurance statement</t>
  </si>
  <si>
    <t xml:space="preserve">All content is fictional and was produced for portfolio demonstration. It has not been reviewed by a certification body, a CPA firm or legal counsel, and no certification or attestation is claimed or implied.</t>
  </si>
  <si>
    <t xml:space="preserve">Approval</t>
  </si>
  <si>
    <t xml:space="preserve">Role</t>
  </si>
  <si>
    <t xml:space="preserve">Name</t>
  </si>
  <si>
    <t xml:space="preserve">Date</t>
  </si>
  <si>
    <t xml:space="preserve">Prepared by</t>
  </si>
  <si>
    <t xml:space="preserve">Assessment performed and register drafted</t>
  </si>
  <si>
    <t xml:space="preserve">Reviewed by</t>
  </si>
  <si>
    <t xml:space="preserve">Register owner; reviewed scoring and control mapping</t>
  </si>
  <si>
    <t xml:space="preserve">Accepted the two residual High risks pending completion of TP-07 to TP-10</t>
  </si>
  <si>
    <t xml:space="preserve">Signature: ______________________          Date: ______________</t>
  </si>
  <si>
    <t xml:space="preserve">Fill-in checklist before you issue this</t>
  </si>
  <si>
    <t xml:space="preserve">Type an x in column A when each line is true. Do not issue the register until every line is ticked.</t>
  </si>
  <si>
    <t xml:space="preserve">Done</t>
  </si>
  <si>
    <t xml:space="preserve">Check</t>
  </si>
  <si>
    <t xml:space="preserve">Every [BRACKETED] field replaced, or the row deleted</t>
  </si>
  <si>
    <t xml:space="preserve">Impact financial bands recalibrated to THIS organisation's revenue, not copied</t>
  </si>
  <si>
    <t xml:space="preserve">Every likelihood and impact score has a written justification on 04_Residual_Rationale</t>
  </si>
  <si>
    <t xml:space="preserve">Every mitigating control cites a SPECIFIC clause number, never just a policy name</t>
  </si>
  <si>
    <t xml:space="preserve">Residual score is lower than inherent ONLY where a real, operating control justifies it</t>
  </si>
  <si>
    <t xml:space="preserve">Any residual score that did NOT fall is explained, with the gap recorded on 07_Control_Gaps</t>
  </si>
  <si>
    <t xml:space="preserve">Every risk owner is a business leader; no risk is owned by the security analyst</t>
  </si>
  <si>
    <t xml:space="preserve">Every action owner is a job title, not a personal name</t>
  </si>
  <si>
    <t xml:space="preserve">Mitigate, Transfer, Avoid and Accept each appear at least once across sheets 02, 05 and 06</t>
  </si>
  <si>
    <t xml:space="preserve">Every acceptance has a named authority at the right approval level and an expiry date</t>
  </si>
  <si>
    <t xml:space="preserve">Arithmetic verified: every score column equals Likelihood x Impact</t>
  </si>
  <si>
    <t xml:space="preserve">One value per cell; no merged cells anywhere in 02_Risk_Register</t>
  </si>
  <si>
    <t xml:space="preserve">Limitations written honestly on 10_Methodology, including what the model cannot do</t>
  </si>
  <si>
    <t xml:space="preserve">Fictional-data notice present if this is a portfolio artefact</t>
  </si>
  <si>
    <t xml:space="preserve">Added to the document register with owner, approver and review dates</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</si>
</sst>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44546A"/>
      <name val="Arial"/>
      <family val="0"/>
      <charset val="1"/>
    </font>
    <font>
      <b val="true"/>
      <sz val="11"/>
      <color rgb="FFC00000"/>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FFF2CC"/>
        <bgColor rgb="FFEDEDED"/>
      </patternFill>
    </fill>
    <fill>
      <patternFill patternType="solid">
        <fgColor rgb="FFEDEDED"/>
        <bgColor rgb="FFE2EFDA"/>
      </patternFill>
    </fill>
    <fill>
      <patternFill patternType="solid">
        <fgColor rgb="FFE2EFDA"/>
        <bgColor rgb="FFEDEDED"/>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8" fontId="9" fillId="3"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D9A0"/>
          <bgColor rgb="FF000000"/>
        </patternFill>
      </fill>
    </dxf>
    <dxf>
      <fill>
        <patternFill patternType="solid">
          <fgColor rgb="FF833C00"/>
          <bgColor rgb="FF000000"/>
        </patternFill>
      </fill>
    </dxf>
    <dxf>
      <fill>
        <patternFill patternType="solid">
          <fgColor rgb="FF9C0006"/>
          <bgColor rgb="FF000000"/>
        </patternFill>
      </fill>
    </dxf>
    <dxf>
      <fill>
        <patternFill patternType="solid">
          <fgColor rgb="FFFFEB9C"/>
          <bgColor rgb="FF000000"/>
        </patternFill>
      </fill>
    </dxf>
    <dxf>
      <fill>
        <patternFill patternType="solid">
          <fgColor rgb="FF9C6500"/>
          <bgColor rgb="FF000000"/>
        </patternFill>
      </fill>
    </dxf>
    <dxf>
      <fill>
        <patternFill patternType="solid">
          <fgColor rgb="FFEDEDED"/>
          <bgColor rgb="FF000000"/>
        </patternFill>
      </fill>
    </dxf>
    <dxf>
      <font>
        <name val="Arial"/>
        <charset val="1"/>
        <family val="0"/>
        <b val="1"/>
        <color rgb="FF9C0006"/>
      </font>
      <fill>
        <patternFill>
          <bgColor rgb="FFFFC7CE"/>
        </patternFill>
      </fill>
    </dxf>
    <dxf>
      <font>
        <name val="Arial"/>
        <charset val="1"/>
        <family val="0"/>
        <b val="1"/>
        <color rgb="FF833C00"/>
      </font>
      <fill>
        <patternFill>
          <bgColor rgb="FFFFD9A0"/>
        </patternFill>
      </fill>
    </dxf>
    <dxf>
      <font>
        <name val="Arial"/>
        <charset val="1"/>
        <family val="0"/>
        <b val="1"/>
        <color rgb="FF9C6500"/>
      </font>
      <fill>
        <patternFill>
          <bgColor rgb="FFFFEB9C"/>
        </patternFill>
      </fill>
    </dxf>
    <dxf>
      <font>
        <name val="Arial"/>
        <charset val="1"/>
        <family val="0"/>
        <b val="1"/>
        <color rgb="FF006100"/>
      </font>
      <fill>
        <patternFill>
          <bgColor rgb="FFC6EF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7F7F7F"/>
      <rgbColor rgb="FF9999FF"/>
      <rgbColor rgb="FF993366"/>
      <rgbColor rgb="FFFFF2CC"/>
      <rgbColor rgb="FFE2EFDA"/>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FD9A0"/>
      <rgbColor rgb="FF2E75B6"/>
      <rgbColor rgb="FF33CCCC"/>
      <rgbColor rgb="FF99CC00"/>
      <rgbColor rgb="FFFFCC00"/>
      <rgbColor rgb="FFFF9900"/>
      <rgbColor rgb="FFC55A11"/>
      <rgbColor rgb="FF44546A"/>
      <rgbColor rgb="FF969696"/>
      <rgbColor rgb="FF1F3864"/>
      <rgbColor rgb="FF339966"/>
      <rgbColor rgb="FF003300"/>
      <rgbColor rgb="FF333300"/>
      <rgbColor rgb="FF833C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26"/>
    <col collapsed="false" customWidth="true" hidden="false" outlineLevel="0" max="6" min="4"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true" outlineLevel="0" collapsed="false">
      <c r="A5" s="4" t="s">
        <v>3</v>
      </c>
      <c r="B5" s="4"/>
      <c r="C5" s="4"/>
      <c r="D5" s="4"/>
      <c r="E5" s="4"/>
      <c r="F5" s="4"/>
    </row>
    <row r="6" customFormat="false" ht="15" hidden="false" customHeight="false" outlineLevel="0" collapsed="false">
      <c r="A6" s="4"/>
      <c r="B6" s="4"/>
      <c r="C6" s="4"/>
      <c r="D6" s="4"/>
      <c r="E6" s="4"/>
      <c r="F6" s="4"/>
    </row>
    <row r="7" customFormat="false" ht="15" hidden="false" customHeight="false" outlineLevel="0" collapsed="false">
      <c r="A7" s="4"/>
      <c r="B7" s="4"/>
      <c r="C7" s="4"/>
      <c r="D7" s="4"/>
      <c r="E7" s="4"/>
      <c r="F7" s="4"/>
    </row>
    <row r="8" customFormat="false" ht="15" hidden="false" customHeight="false" outlineLevel="0" collapsed="false">
      <c r="A8" s="4"/>
      <c r="B8" s="4"/>
      <c r="C8" s="4"/>
      <c r="D8" s="4"/>
      <c r="E8" s="4"/>
      <c r="F8" s="4"/>
    </row>
    <row r="9" customFormat="false" ht="15" hidden="false" customHeight="false" outlineLevel="0" collapsed="false">
      <c r="A9" s="4"/>
      <c r="B9" s="4"/>
      <c r="C9" s="4"/>
      <c r="D9" s="4"/>
      <c r="E9" s="4"/>
      <c r="F9" s="4"/>
    </row>
    <row r="11" customFormat="false" ht="15" hidden="false" customHeight="false" outlineLevel="0" collapsed="false">
      <c r="A11" s="5" t="s">
        <v>4</v>
      </c>
    </row>
    <row r="12" customFormat="false" ht="15" hidden="false" customHeight="false" outlineLevel="0" collapsed="false">
      <c r="A12" s="6" t="s">
        <v>5</v>
      </c>
      <c r="B12" s="7" t="s">
        <v>6</v>
      </c>
    </row>
    <row r="13" customFormat="false" ht="15" hidden="false" customHeight="false" outlineLevel="0" collapsed="false">
      <c r="A13" s="8" t="s">
        <v>7</v>
      </c>
      <c r="B13" s="7" t="s">
        <v>8</v>
      </c>
    </row>
    <row r="14" customFormat="false" ht="15" hidden="false" customHeight="false" outlineLevel="0" collapsed="false">
      <c r="A14" s="9"/>
      <c r="B14" s="7"/>
    </row>
    <row r="16" customFormat="false" ht="15" hidden="false" customHeight="false" outlineLevel="0" collapsed="false">
      <c r="A16" s="5" t="s">
        <v>9</v>
      </c>
    </row>
    <row r="17" customFormat="false" ht="15" hidden="false" customHeight="false" outlineLevel="0" collapsed="false">
      <c r="A17" s="10" t="s">
        <v>10</v>
      </c>
      <c r="B17" s="10" t="s">
        <v>11</v>
      </c>
    </row>
    <row r="18" customFormat="false" ht="30" hidden="false" customHeight="true" outlineLevel="0" collapsed="false">
      <c r="A18" s="11" t="s">
        <v>12</v>
      </c>
      <c r="B18" s="12" t="s">
        <v>13</v>
      </c>
    </row>
    <row r="19" customFormat="false" ht="30" hidden="false" customHeight="true" outlineLevel="0" collapsed="false">
      <c r="A19" s="11" t="s">
        <v>14</v>
      </c>
      <c r="B19" s="12" t="s">
        <v>15</v>
      </c>
    </row>
    <row r="20" customFormat="false" ht="30" hidden="false" customHeight="true" outlineLevel="0" collapsed="false">
      <c r="A20" s="11" t="s">
        <v>16</v>
      </c>
      <c r="B20" s="12" t="s">
        <v>17</v>
      </c>
    </row>
    <row r="21" customFormat="false" ht="30" hidden="false" customHeight="true" outlineLevel="0" collapsed="false">
      <c r="A21" s="11" t="s">
        <v>18</v>
      </c>
      <c r="B21" s="12" t="s">
        <v>19</v>
      </c>
    </row>
    <row r="22" customFormat="false" ht="30" hidden="false" customHeight="true" outlineLevel="0" collapsed="false">
      <c r="A22" s="11" t="s">
        <v>20</v>
      </c>
      <c r="B22" s="12" t="s">
        <v>21</v>
      </c>
    </row>
    <row r="23" customFormat="false" ht="30" hidden="false" customHeight="true" outlineLevel="0" collapsed="false">
      <c r="A23" s="11" t="s">
        <v>22</v>
      </c>
      <c r="B23" s="12" t="s">
        <v>23</v>
      </c>
    </row>
    <row r="24" customFormat="false" ht="30" hidden="false" customHeight="true" outlineLevel="0" collapsed="false">
      <c r="A24" s="11" t="s">
        <v>24</v>
      </c>
      <c r="B24" s="12" t="s">
        <v>25</v>
      </c>
    </row>
    <row r="25" customFormat="false" ht="30" hidden="false" customHeight="true" outlineLevel="0" collapsed="false">
      <c r="A25" s="11" t="s">
        <v>26</v>
      </c>
      <c r="B25" s="12" t="s">
        <v>27</v>
      </c>
    </row>
    <row r="26" customFormat="false" ht="30" hidden="false" customHeight="true" outlineLevel="0" collapsed="false">
      <c r="A26" s="11" t="s">
        <v>28</v>
      </c>
      <c r="B26" s="12" t="s">
        <v>29</v>
      </c>
    </row>
    <row r="27" customFormat="false" ht="30" hidden="false" customHeight="true" outlineLevel="0" collapsed="false">
      <c r="A27" s="11" t="s">
        <v>30</v>
      </c>
      <c r="B27" s="12" t="s">
        <v>31</v>
      </c>
    </row>
    <row r="28" customFormat="false" ht="30" hidden="false" customHeight="true" outlineLevel="0" collapsed="false">
      <c r="A28" s="11" t="s">
        <v>32</v>
      </c>
      <c r="B28" s="12" t="s">
        <v>33</v>
      </c>
    </row>
    <row r="29" customFormat="false" ht="30" hidden="false" customHeight="true" outlineLevel="0" collapsed="false">
      <c r="A29" s="11" t="s">
        <v>34</v>
      </c>
      <c r="B29" s="12" t="s">
        <v>35</v>
      </c>
    </row>
    <row r="31" customFormat="false" ht="15" hidden="false" customHeight="false" outlineLevel="0" collapsed="false">
      <c r="A31" s="5" t="s">
        <v>36</v>
      </c>
    </row>
    <row r="32" customFormat="false" ht="25.5" hidden="false" customHeight="true" outlineLevel="0" collapsed="false">
      <c r="A32" s="4" t="s">
        <v>37</v>
      </c>
      <c r="B32" s="4"/>
      <c r="C32" s="4"/>
      <c r="D32" s="4"/>
      <c r="E32" s="4"/>
      <c r="F32" s="4"/>
    </row>
    <row r="33" customFormat="false" ht="25.5" hidden="false" customHeight="true" outlineLevel="0" collapsed="false">
      <c r="A33" s="4" t="s">
        <v>38</v>
      </c>
      <c r="B33" s="4"/>
      <c r="C33" s="4"/>
      <c r="D33" s="4"/>
      <c r="E33" s="4"/>
      <c r="F33" s="4"/>
    </row>
    <row r="34" customFormat="false" ht="25.5" hidden="false" customHeight="true" outlineLevel="0" collapsed="false">
      <c r="A34" s="4" t="s">
        <v>39</v>
      </c>
      <c r="B34" s="4"/>
      <c r="C34" s="4"/>
      <c r="D34" s="4"/>
      <c r="E34" s="4"/>
      <c r="F34" s="4"/>
    </row>
    <row r="35" customFormat="false" ht="25.5" hidden="false" customHeight="true" outlineLevel="0" collapsed="false">
      <c r="A35" s="4" t="s">
        <v>40</v>
      </c>
      <c r="B35" s="4"/>
      <c r="C35" s="4"/>
      <c r="D35" s="4"/>
      <c r="E35" s="4"/>
      <c r="F35" s="4"/>
    </row>
    <row r="36" customFormat="false" ht="25.5" hidden="false" customHeight="true" outlineLevel="0" collapsed="false">
      <c r="A36" s="4" t="s">
        <v>41</v>
      </c>
      <c r="B36" s="4"/>
      <c r="C36" s="4"/>
      <c r="D36" s="4"/>
      <c r="E36" s="4"/>
      <c r="F36" s="4"/>
    </row>
    <row r="38" customFormat="false" ht="15" hidden="false" customHeight="false" outlineLevel="0" collapsed="false">
      <c r="A38" s="5" t="s">
        <v>42</v>
      </c>
    </row>
    <row r="39" customFormat="false" ht="30" hidden="false" customHeight="true" outlineLevel="0" collapsed="false">
      <c r="A39" s="4" t="s">
        <v>43</v>
      </c>
      <c r="B39" s="4"/>
      <c r="C39" s="4"/>
      <c r="D39" s="4"/>
      <c r="E39" s="4"/>
      <c r="F39" s="4"/>
    </row>
    <row r="40" customFormat="false" ht="30" hidden="false" customHeight="true" outlineLevel="0" collapsed="false">
      <c r="A40" s="4" t="s">
        <v>44</v>
      </c>
      <c r="B40" s="4"/>
      <c r="C40" s="4"/>
      <c r="D40" s="4"/>
      <c r="E40" s="4"/>
      <c r="F40" s="4"/>
    </row>
    <row r="41" customFormat="false" ht="30" hidden="false" customHeight="true" outlineLevel="0" collapsed="false">
      <c r="A41" s="4" t="s">
        <v>45</v>
      </c>
      <c r="B41" s="4"/>
      <c r="C41" s="4"/>
      <c r="D41" s="4"/>
      <c r="E41" s="4"/>
      <c r="F41" s="4"/>
    </row>
    <row r="42" customFormat="false" ht="30" hidden="false" customHeight="true" outlineLevel="0" collapsed="false">
      <c r="A42" s="4" t="s">
        <v>46</v>
      </c>
      <c r="B42" s="4"/>
      <c r="C42" s="4"/>
      <c r="D42" s="4"/>
      <c r="E42" s="4"/>
      <c r="F42" s="4"/>
    </row>
    <row r="43" customFormat="false" ht="30" hidden="false" customHeight="true" outlineLevel="0" collapsed="false">
      <c r="A43" s="4" t="s">
        <v>47</v>
      </c>
      <c r="B43" s="4"/>
      <c r="C43" s="4"/>
      <c r="D43" s="4"/>
      <c r="E43" s="4"/>
      <c r="F43" s="4"/>
    </row>
  </sheetData>
  <mergeCells count="11">
    <mergeCell ref="A5:F9"/>
    <mergeCell ref="A32:F32"/>
    <mergeCell ref="A33:F33"/>
    <mergeCell ref="A34:F34"/>
    <mergeCell ref="A35:F35"/>
    <mergeCell ref="A36:F36"/>
    <mergeCell ref="A39:F39"/>
    <mergeCell ref="A40:F40"/>
    <mergeCell ref="A41:F41"/>
    <mergeCell ref="A42:F42"/>
    <mergeCell ref="A43:F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8"/>
    <col collapsed="false" customWidth="true" hidden="false" outlineLevel="0" max="3" min="3" style="0" width="52"/>
  </cols>
  <sheetData>
    <row r="1" customFormat="false" ht="17.35" hidden="false" customHeight="false" outlineLevel="0" collapsed="false">
      <c r="A1" s="1" t="s">
        <v>48</v>
      </c>
    </row>
    <row r="2" customFormat="false" ht="15" hidden="false" customHeight="false" outlineLevel="0" collapsed="false">
      <c r="A2" s="2" t="s">
        <v>49</v>
      </c>
    </row>
    <row r="4" customFormat="false" ht="15" hidden="false" customHeight="false" outlineLevel="0" collapsed="false">
      <c r="A4" s="10" t="s">
        <v>50</v>
      </c>
      <c r="B4" s="10" t="s">
        <v>51</v>
      </c>
    </row>
    <row r="5" customFormat="false" ht="25.5" hidden="false" customHeight="true" outlineLevel="0" collapsed="false">
      <c r="A5" s="11" t="s">
        <v>52</v>
      </c>
      <c r="B5" s="12" t="s">
        <v>53</v>
      </c>
    </row>
    <row r="6" customFormat="false" ht="25.5" hidden="false" customHeight="true" outlineLevel="0" collapsed="false">
      <c r="A6" s="11" t="s">
        <v>54</v>
      </c>
      <c r="B6" s="12" t="s">
        <v>55</v>
      </c>
    </row>
    <row r="7" customFormat="false" ht="25.5" hidden="false" customHeight="true" outlineLevel="0" collapsed="false">
      <c r="A7" s="11" t="s">
        <v>56</v>
      </c>
      <c r="B7" s="12" t="s">
        <v>57</v>
      </c>
    </row>
    <row r="8" customFormat="false" ht="25.5" hidden="false" customHeight="true" outlineLevel="0" collapsed="false">
      <c r="A8" s="11" t="s">
        <v>58</v>
      </c>
      <c r="B8" s="12" t="s">
        <v>59</v>
      </c>
    </row>
    <row r="9" customFormat="false" ht="25.5" hidden="false" customHeight="true" outlineLevel="0" collapsed="false">
      <c r="A9" s="11" t="s">
        <v>60</v>
      </c>
      <c r="B9" s="12" t="s">
        <v>61</v>
      </c>
    </row>
    <row r="10" customFormat="false" ht="25.5" hidden="false" customHeight="true" outlineLevel="0" collapsed="false">
      <c r="A10" s="11" t="s">
        <v>62</v>
      </c>
      <c r="B10" s="12" t="s">
        <v>63</v>
      </c>
    </row>
    <row r="11" customFormat="false" ht="25.5" hidden="false" customHeight="true" outlineLevel="0" collapsed="false">
      <c r="A11" s="11" t="s">
        <v>64</v>
      </c>
      <c r="B11" s="12" t="s">
        <v>65</v>
      </c>
    </row>
    <row r="12" customFormat="false" ht="25.5" hidden="false" customHeight="true" outlineLevel="0" collapsed="false">
      <c r="A12" s="11" t="s">
        <v>66</v>
      </c>
      <c r="B12" s="12" t="s">
        <v>67</v>
      </c>
    </row>
    <row r="13" customFormat="false" ht="25.5" hidden="false" customHeight="true" outlineLevel="0" collapsed="false">
      <c r="A13" s="11" t="s">
        <v>68</v>
      </c>
      <c r="B13" s="12" t="s">
        <v>69</v>
      </c>
    </row>
    <row r="14" customFormat="false" ht="25.5" hidden="false" customHeight="true" outlineLevel="0" collapsed="false">
      <c r="A14" s="11" t="s">
        <v>70</v>
      </c>
      <c r="B14" s="12" t="s">
        <v>71</v>
      </c>
    </row>
    <row r="15" customFormat="false" ht="25.5" hidden="false" customHeight="true" outlineLevel="0" collapsed="false">
      <c r="A15" s="11" t="s">
        <v>72</v>
      </c>
      <c r="B15" s="12" t="s">
        <v>73</v>
      </c>
    </row>
    <row r="16" customFormat="false" ht="25.5" hidden="false" customHeight="true" outlineLevel="0" collapsed="false">
      <c r="A16" s="11" t="s">
        <v>74</v>
      </c>
      <c r="B16" s="12" t="s">
        <v>73</v>
      </c>
    </row>
    <row r="17" customFormat="false" ht="25.5" hidden="false" customHeight="true" outlineLevel="0" collapsed="false">
      <c r="A17" s="11" t="s">
        <v>75</v>
      </c>
      <c r="B17" s="12" t="s">
        <v>76</v>
      </c>
    </row>
    <row r="18" customFormat="false" ht="25.5" hidden="false" customHeight="true" outlineLevel="0" collapsed="false">
      <c r="A18" s="11" t="s">
        <v>77</v>
      </c>
      <c r="B18" s="12" t="s">
        <v>78</v>
      </c>
    </row>
    <row r="19" customFormat="false" ht="25.5" hidden="false" customHeight="true" outlineLevel="0" collapsed="false">
      <c r="A19" s="11" t="s">
        <v>79</v>
      </c>
      <c r="B19" s="12" t="s">
        <v>80</v>
      </c>
    </row>
    <row r="20" customFormat="false" ht="25.5" hidden="false" customHeight="true" outlineLevel="0" collapsed="false">
      <c r="A20" s="11" t="s">
        <v>81</v>
      </c>
      <c r="B20" s="12" t="s">
        <v>82</v>
      </c>
    </row>
    <row r="21" customFormat="false" ht="25.5" hidden="false" customHeight="true" outlineLevel="0" collapsed="false">
      <c r="A21" s="11" t="s">
        <v>83</v>
      </c>
      <c r="B21" s="12" t="s">
        <v>84</v>
      </c>
    </row>
    <row r="22" customFormat="false" ht="25.5" hidden="false" customHeight="true" outlineLevel="0" collapsed="false">
      <c r="A22" s="11" t="s">
        <v>85</v>
      </c>
      <c r="B22" s="12" t="s">
        <v>86</v>
      </c>
    </row>
    <row r="23" customFormat="false" ht="25.5" hidden="false" customHeight="true" outlineLevel="0" collapsed="false">
      <c r="A23" s="11" t="s">
        <v>87</v>
      </c>
      <c r="B23" s="12" t="s">
        <v>88</v>
      </c>
    </row>
    <row r="25" customFormat="false" ht="15" hidden="false" customHeight="false" outlineLevel="0" collapsed="false">
      <c r="A25" s="5" t="s">
        <v>89</v>
      </c>
    </row>
    <row r="26" customFormat="false" ht="23.85" hidden="false" customHeight="false" outlineLevel="0" collapsed="false">
      <c r="A26" s="10" t="s">
        <v>90</v>
      </c>
      <c r="B26" s="10" t="s">
        <v>91</v>
      </c>
    </row>
    <row r="27" customFormat="false" ht="57.75" hidden="false" customHeight="true" outlineLevel="0" collapsed="false">
      <c r="A27" s="11" t="s">
        <v>92</v>
      </c>
      <c r="B27" s="12" t="s">
        <v>93</v>
      </c>
    </row>
    <row r="28" customFormat="false" ht="57.75" hidden="false" customHeight="true" outlineLevel="0" collapsed="false">
      <c r="A28" s="11" t="s">
        <v>94</v>
      </c>
      <c r="B28" s="12" t="s">
        <v>95</v>
      </c>
    </row>
    <row r="29" customFormat="false" ht="57.75" hidden="false" customHeight="true" outlineLevel="0" collapsed="false">
      <c r="A29" s="11" t="s">
        <v>96</v>
      </c>
      <c r="B29" s="12" t="s">
        <v>97</v>
      </c>
    </row>
    <row r="31" customFormat="false" ht="15" hidden="false" customHeight="false" outlineLevel="0" collapsed="false">
      <c r="A31" s="5" t="s">
        <v>98</v>
      </c>
    </row>
    <row r="32" customFormat="false" ht="15" hidden="false" customHeight="false" outlineLevel="0" collapsed="false">
      <c r="A32" s="10" t="s">
        <v>99</v>
      </c>
      <c r="B32" s="10" t="s">
        <v>100</v>
      </c>
      <c r="C32" s="10" t="s">
        <v>101</v>
      </c>
    </row>
    <row r="33" customFormat="false" ht="42" hidden="false" customHeight="true" outlineLevel="0" collapsed="false">
      <c r="A33" s="11" t="s">
        <v>102</v>
      </c>
      <c r="B33" s="12" t="s">
        <v>103</v>
      </c>
      <c r="C33" s="12" t="s">
        <v>104</v>
      </c>
    </row>
    <row r="34" customFormat="false" ht="42" hidden="false" customHeight="true" outlineLevel="0" collapsed="false">
      <c r="A34" s="11" t="s">
        <v>105</v>
      </c>
      <c r="B34" s="12" t="s">
        <v>106</v>
      </c>
      <c r="C34" s="12" t="s">
        <v>107</v>
      </c>
    </row>
    <row r="35" customFormat="false" ht="42" hidden="false" customHeight="true" outlineLevel="0" collapsed="false">
      <c r="A35" s="11" t="s">
        <v>108</v>
      </c>
      <c r="B35" s="12" t="s">
        <v>109</v>
      </c>
      <c r="C35" s="12" t="s">
        <v>110</v>
      </c>
    </row>
    <row r="36" customFormat="false" ht="42" hidden="false" customHeight="true" outlineLevel="0" collapsed="false">
      <c r="A36" s="11" t="s">
        <v>111</v>
      </c>
      <c r="B36" s="12" t="s">
        <v>112</v>
      </c>
      <c r="C36" s="12" t="s">
        <v>113</v>
      </c>
    </row>
    <row r="37" customFormat="false" ht="42" hidden="false" customHeight="true" outlineLevel="0" collapsed="false">
      <c r="A37" s="11" t="s">
        <v>114</v>
      </c>
      <c r="B37" s="12" t="s">
        <v>115</v>
      </c>
      <c r="C37" s="12" t="s">
        <v>116</v>
      </c>
    </row>
    <row r="38" customFormat="false" ht="42" hidden="false" customHeight="true" outlineLevel="0" collapsed="false">
      <c r="A38" s="11" t="s">
        <v>117</v>
      </c>
      <c r="B38" s="12" t="s">
        <v>118</v>
      </c>
      <c r="C38" s="12"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S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62"/>
    <col collapsed="false" customWidth="true" hidden="false" outlineLevel="0" max="5" min="4" style="0" width="12"/>
    <col collapsed="false" customWidth="true" hidden="false" outlineLevel="0" max="6" min="6" style="0" width="14"/>
    <col collapsed="false" customWidth="true" hidden="false" outlineLevel="0" max="7" min="7" style="0" width="78"/>
    <col collapsed="false" customWidth="true" hidden="false" outlineLevel="0" max="9" min="8" style="0" width="12"/>
    <col collapsed="false" customWidth="true" hidden="false" outlineLevel="0" max="10" min="10" style="0" width="14"/>
    <col collapsed="false" customWidth="true" hidden="false" outlineLevel="0" max="11" min="11" style="0" width="18"/>
    <col collapsed="false" customWidth="true" hidden="false" outlineLevel="0" max="12" min="12" style="0" width="22"/>
    <col collapsed="false" customWidth="true" hidden="false" outlineLevel="0" max="14" min="13" style="0" width="13"/>
    <col collapsed="false" customWidth="true" hidden="false" outlineLevel="0" max="15" min="15" style="0" width="11"/>
    <col collapsed="false" customWidth="true" hidden="false" outlineLevel="0" max="16" min="16" style="0" width="26"/>
    <col collapsed="false" customWidth="true" hidden="false" outlineLevel="0" max="19" min="17" style="0" width="14"/>
  </cols>
  <sheetData>
    <row r="1" customFormat="false" ht="63.75" hidden="false" customHeight="true" outlineLevel="0" collapsed="false">
      <c r="A1" s="10" t="s">
        <v>120</v>
      </c>
      <c r="B1" s="10" t="s">
        <v>121</v>
      </c>
      <c r="C1" s="10" t="s">
        <v>122</v>
      </c>
      <c r="D1" s="10" t="s">
        <v>123</v>
      </c>
      <c r="E1" s="10" t="s">
        <v>124</v>
      </c>
      <c r="F1" s="10" t="s">
        <v>125</v>
      </c>
      <c r="G1" s="10" t="s">
        <v>126</v>
      </c>
      <c r="H1" s="10" t="s">
        <v>127</v>
      </c>
      <c r="I1" s="10" t="s">
        <v>128</v>
      </c>
      <c r="J1" s="10" t="s">
        <v>129</v>
      </c>
      <c r="K1" s="10" t="s">
        <v>130</v>
      </c>
      <c r="L1" s="10" t="s">
        <v>131</v>
      </c>
      <c r="M1" s="10" t="s">
        <v>132</v>
      </c>
      <c r="N1" s="10" t="s">
        <v>133</v>
      </c>
      <c r="O1" s="10" t="s">
        <v>134</v>
      </c>
      <c r="P1" s="10" t="s">
        <v>135</v>
      </c>
      <c r="Q1" s="10" t="s">
        <v>136</v>
      </c>
      <c r="R1" s="10" t="s">
        <v>137</v>
      </c>
      <c r="S1" s="10" t="s">
        <v>138</v>
      </c>
    </row>
    <row r="2" customFormat="false" ht="120" hidden="false" customHeight="true" outlineLevel="0" collapsed="false">
      <c r="A2" s="12" t="s">
        <v>139</v>
      </c>
      <c r="B2" s="12" t="s">
        <v>140</v>
      </c>
      <c r="C2" s="12" t="s">
        <v>141</v>
      </c>
      <c r="D2" s="13" t="n">
        <v>5</v>
      </c>
      <c r="E2" s="13" t="n">
        <v>4</v>
      </c>
      <c r="F2" s="14" t="n">
        <f aca="false">IF(OR($D2="",$E2=""),"",$D2*$E2)</f>
        <v>20</v>
      </c>
      <c r="G2" s="12" t="s">
        <v>142</v>
      </c>
      <c r="H2" s="13" t="n">
        <v>2</v>
      </c>
      <c r="I2" s="13" t="n">
        <v>3</v>
      </c>
      <c r="J2" s="14" t="n">
        <f aca="false">IF(OR($H2="",$I2=""),"",$H2*$I2)</f>
        <v>6</v>
      </c>
      <c r="K2" s="12" t="s">
        <v>143</v>
      </c>
      <c r="L2" s="12" t="s">
        <v>144</v>
      </c>
      <c r="M2" s="15" t="str">
        <f aca="false">IF($F2="","",IF($F2&gt;=15,"Critical",IF($F2&gt;=10,"High",IF($F2&gt;=5,"Medium","Low"))))</f>
        <v>Critical</v>
      </c>
      <c r="N2" s="15" t="str">
        <f aca="false">IF($J2="","",IF($J2&gt;=15,"Critical",IF($J2&gt;=10,"High",IF($J2&gt;=5,"Medium","Low"))))</f>
        <v>Medium</v>
      </c>
      <c r="O2" s="14" t="n">
        <f aca="false">IF(OR($F2="",$J2=""),"",$F2-$J2)</f>
        <v>14</v>
      </c>
      <c r="P2" s="12" t="s">
        <v>145</v>
      </c>
      <c r="Q2" s="12" t="s">
        <v>146</v>
      </c>
      <c r="R2" s="12" t="s">
        <v>147</v>
      </c>
      <c r="S2" s="12" t="s">
        <v>148</v>
      </c>
    </row>
    <row r="3" customFormat="false" ht="120" hidden="false" customHeight="true" outlineLevel="0" collapsed="false">
      <c r="A3" s="12" t="s">
        <v>149</v>
      </c>
      <c r="B3" s="12" t="s">
        <v>150</v>
      </c>
      <c r="C3" s="12" t="s">
        <v>151</v>
      </c>
      <c r="D3" s="13" t="n">
        <v>4</v>
      </c>
      <c r="E3" s="13" t="n">
        <v>5</v>
      </c>
      <c r="F3" s="14" t="n">
        <f aca="false">IF(OR($D3="",$E3=""),"",$D3*$E3)</f>
        <v>20</v>
      </c>
      <c r="G3" s="12" t="s">
        <v>152</v>
      </c>
      <c r="H3" s="13" t="n">
        <v>2</v>
      </c>
      <c r="I3" s="13" t="n">
        <v>4</v>
      </c>
      <c r="J3" s="14" t="n">
        <f aca="false">IF(OR($H3="",$I3=""),"",$H3*$I3)</f>
        <v>8</v>
      </c>
      <c r="K3" s="12" t="s">
        <v>153</v>
      </c>
      <c r="L3" s="12" t="s">
        <v>144</v>
      </c>
      <c r="M3" s="15" t="str">
        <f aca="false">IF($F3="","",IF($F3&gt;=15,"Critical",IF($F3&gt;=10,"High",IF($F3&gt;=5,"Medium","Low"))))</f>
        <v>Critical</v>
      </c>
      <c r="N3" s="15" t="str">
        <f aca="false">IF($J3="","",IF($J3&gt;=15,"Critical",IF($J3&gt;=10,"High",IF($J3&gt;=5,"Medium","Low"))))</f>
        <v>Medium</v>
      </c>
      <c r="O3" s="14" t="n">
        <f aca="false">IF(OR($F3="",$J3=""),"",$F3-$J3)</f>
        <v>12</v>
      </c>
      <c r="P3" s="12" t="s">
        <v>145</v>
      </c>
      <c r="Q3" s="12" t="s">
        <v>146</v>
      </c>
      <c r="R3" s="12" t="s">
        <v>147</v>
      </c>
      <c r="S3" s="12" t="s">
        <v>148</v>
      </c>
    </row>
    <row r="4" customFormat="false" ht="120" hidden="false" customHeight="true" outlineLevel="0" collapsed="false">
      <c r="A4" s="12" t="s">
        <v>154</v>
      </c>
      <c r="B4" s="12" t="s">
        <v>155</v>
      </c>
      <c r="C4" s="12" t="s">
        <v>156</v>
      </c>
      <c r="D4" s="13" t="n">
        <v>3</v>
      </c>
      <c r="E4" s="13" t="n">
        <v>4</v>
      </c>
      <c r="F4" s="14" t="n">
        <f aca="false">IF(OR($D4="",$E4=""),"",$D4*$E4)</f>
        <v>12</v>
      </c>
      <c r="G4" s="12" t="s">
        <v>157</v>
      </c>
      <c r="H4" s="13" t="n">
        <v>2</v>
      </c>
      <c r="I4" s="13" t="n">
        <v>3</v>
      </c>
      <c r="J4" s="14" t="n">
        <f aca="false">IF(OR($H4="",$I4=""),"",$H4*$I4)</f>
        <v>6</v>
      </c>
      <c r="K4" s="12" t="s">
        <v>143</v>
      </c>
      <c r="L4" s="12" t="s">
        <v>158</v>
      </c>
      <c r="M4" s="15" t="str">
        <f aca="false">IF($F4="","",IF($F4&gt;=15,"Critical",IF($F4&gt;=10,"High",IF($F4&gt;=5,"Medium","Low"))))</f>
        <v>High</v>
      </c>
      <c r="N4" s="15" t="str">
        <f aca="false">IF($J4="","",IF($J4&gt;=15,"Critical",IF($J4&gt;=10,"High",IF($J4&gt;=5,"Medium","Low"))))</f>
        <v>Medium</v>
      </c>
      <c r="O4" s="14" t="n">
        <f aca="false">IF(OR($F4="",$J4=""),"",$F4-$J4)</f>
        <v>6</v>
      </c>
      <c r="P4" s="12" t="s">
        <v>159</v>
      </c>
      <c r="Q4" s="12" t="s">
        <v>146</v>
      </c>
      <c r="R4" s="12" t="s">
        <v>147</v>
      </c>
      <c r="S4" s="12" t="s">
        <v>160</v>
      </c>
    </row>
    <row r="5" customFormat="false" ht="120" hidden="false" customHeight="true" outlineLevel="0" collapsed="false">
      <c r="A5" s="12" t="s">
        <v>161</v>
      </c>
      <c r="B5" s="12" t="s">
        <v>162</v>
      </c>
      <c r="C5" s="12" t="s">
        <v>163</v>
      </c>
      <c r="D5" s="13" t="n">
        <v>4</v>
      </c>
      <c r="E5" s="13" t="n">
        <v>5</v>
      </c>
      <c r="F5" s="14" t="n">
        <f aca="false">IF(OR($D5="",$E5=""),"",$D5*$E5)</f>
        <v>20</v>
      </c>
      <c r="G5" s="12" t="s">
        <v>164</v>
      </c>
      <c r="H5" s="13" t="n">
        <v>3</v>
      </c>
      <c r="I5" s="13" t="n">
        <v>4</v>
      </c>
      <c r="J5" s="14" t="n">
        <f aca="false">IF(OR($H5="",$I5=""),"",$H5*$I5)</f>
        <v>12</v>
      </c>
      <c r="K5" s="12" t="s">
        <v>143</v>
      </c>
      <c r="L5" s="12" t="s">
        <v>145</v>
      </c>
      <c r="M5" s="15" t="str">
        <f aca="false">IF($F5="","",IF($F5&gt;=15,"Critical",IF($F5&gt;=10,"High",IF($F5&gt;=5,"Medium","Low"))))</f>
        <v>Critical</v>
      </c>
      <c r="N5" s="15" t="str">
        <f aca="false">IF($J5="","",IF($J5&gt;=15,"Critical",IF($J5&gt;=10,"High",IF($J5&gt;=5,"Medium","Low"))))</f>
        <v>High</v>
      </c>
      <c r="O5" s="14" t="n">
        <f aca="false">IF(OR($F5="",$J5=""),"",$F5-$J5)</f>
        <v>8</v>
      </c>
      <c r="P5" s="12" t="s">
        <v>145</v>
      </c>
      <c r="Q5" s="12" t="s">
        <v>146</v>
      </c>
      <c r="R5" s="12" t="s">
        <v>165</v>
      </c>
      <c r="S5" s="12" t="s">
        <v>148</v>
      </c>
    </row>
    <row r="6" customFormat="false" ht="120" hidden="false" customHeight="true" outlineLevel="0" collapsed="false">
      <c r="A6" s="12" t="s">
        <v>166</v>
      </c>
      <c r="B6" s="12" t="s">
        <v>167</v>
      </c>
      <c r="C6" s="12" t="s">
        <v>168</v>
      </c>
      <c r="D6" s="13" t="n">
        <v>4</v>
      </c>
      <c r="E6" s="13" t="n">
        <v>5</v>
      </c>
      <c r="F6" s="14" t="n">
        <f aca="false">IF(OR($D6="",$E6=""),"",$D6*$E6)</f>
        <v>20</v>
      </c>
      <c r="G6" s="12" t="s">
        <v>169</v>
      </c>
      <c r="H6" s="13" t="n">
        <v>3</v>
      </c>
      <c r="I6" s="13" t="n">
        <v>4</v>
      </c>
      <c r="J6" s="14" t="n">
        <f aca="false">IF(OR($H6="",$I6=""),"",$H6*$I6)</f>
        <v>12</v>
      </c>
      <c r="K6" s="12" t="s">
        <v>143</v>
      </c>
      <c r="L6" s="12" t="s">
        <v>145</v>
      </c>
      <c r="M6" s="15" t="str">
        <f aca="false">IF($F6="","",IF($F6&gt;=15,"Critical",IF($F6&gt;=10,"High",IF($F6&gt;=5,"Medium","Low"))))</f>
        <v>Critical</v>
      </c>
      <c r="N6" s="15" t="str">
        <f aca="false">IF($J6="","",IF($J6&gt;=15,"Critical",IF($J6&gt;=10,"High",IF($J6&gt;=5,"Medium","Low"))))</f>
        <v>High</v>
      </c>
      <c r="O6" s="14" t="n">
        <f aca="false">IF(OR($F6="",$J6=""),"",$F6-$J6)</f>
        <v>8</v>
      </c>
      <c r="P6" s="12" t="s">
        <v>145</v>
      </c>
      <c r="Q6" s="12" t="s">
        <v>146</v>
      </c>
      <c r="R6" s="12" t="s">
        <v>165</v>
      </c>
      <c r="S6" s="12" t="s">
        <v>148</v>
      </c>
    </row>
  </sheetData>
  <autoFilter ref="A1:S6"/>
  <conditionalFormatting sqref="M2:M6">
    <cfRule type="cellIs" priority="2" operator="equal" aboveAverage="0" equalAverage="0" bottom="0" percent="0" rank="0" text="" dxfId="10">
      <formula>"Critical"</formula>
    </cfRule>
    <cfRule type="cellIs" priority="3" operator="equal" aboveAverage="0" equalAverage="0" bottom="0" percent="0" rank="0" text="" dxfId="11">
      <formula>"High"</formula>
    </cfRule>
    <cfRule type="cellIs" priority="4" operator="equal" aboveAverage="0" equalAverage="0" bottom="0" percent="0" rank="0" text="" dxfId="12">
      <formula>"Medium"</formula>
    </cfRule>
    <cfRule type="cellIs" priority="5" operator="equal" aboveAverage="0" equalAverage="0" bottom="0" percent="0" rank="0" text="" dxfId="13">
      <formula>"Low"</formula>
    </cfRule>
  </conditionalFormatting>
  <conditionalFormatting sqref="N2:N6">
    <cfRule type="cellIs" priority="6" operator="equal" aboveAverage="0" equalAverage="0" bottom="0" percent="0" rank="0" text="" dxfId="10">
      <formula>"Critical"</formula>
    </cfRule>
    <cfRule type="cellIs" priority="7" operator="equal" aboveAverage="0" equalAverage="0" bottom="0" percent="0" rank="0" text="" dxfId="11">
      <formula>"High"</formula>
    </cfRule>
    <cfRule type="cellIs" priority="8" operator="equal" aboveAverage="0" equalAverage="0" bottom="0" percent="0" rank="0" text="" dxfId="12">
      <formula>"Medium"</formula>
    </cfRule>
    <cfRule type="cellIs" priority="9" operator="equal" aboveAverage="0" equalAverage="0" bottom="0" percent="0" rank="0" text="" dxfId="13">
      <formula>"Low"</formula>
    </cfRule>
  </conditionalFormatting>
  <conditionalFormatting sqref="F2:F6">
    <cfRule type="cellIs" priority="10" operator="greaterThanOrEqual" aboveAverage="0" equalAverage="0" bottom="0" percent="0" rank="0" text="" dxfId="10">
      <formula>15</formula>
    </cfRule>
    <cfRule type="cellIs" priority="11" operator="between" aboveAverage="0" equalAverage="0" bottom="0" percent="0" rank="0" text="" dxfId="11">
      <formula>10</formula>
      <formula>14</formula>
    </cfRule>
    <cfRule type="cellIs" priority="12" operator="between" aboveAverage="0" equalAverage="0" bottom="0" percent="0" rank="0" text="" dxfId="12">
      <formula>5</formula>
      <formula>9</formula>
    </cfRule>
    <cfRule type="cellIs" priority="13" operator="between" aboveAverage="0" equalAverage="0" bottom="0" percent="0" rank="0" text="" dxfId="13">
      <formula>1</formula>
      <formula>4</formula>
    </cfRule>
  </conditionalFormatting>
  <conditionalFormatting sqref="J2:J6">
    <cfRule type="cellIs" priority="14" operator="greaterThanOrEqual" aboveAverage="0" equalAverage="0" bottom="0" percent="0" rank="0" text="" dxfId="10">
      <formula>15</formula>
    </cfRule>
    <cfRule type="cellIs" priority="15" operator="between" aboveAverage="0" equalAverage="0" bottom="0" percent="0" rank="0" text="" dxfId="11">
      <formula>10</formula>
      <formula>14</formula>
    </cfRule>
    <cfRule type="cellIs" priority="16" operator="between" aboveAverage="0" equalAverage="0" bottom="0" percent="0" rank="0" text="" dxfId="12">
      <formula>5</formula>
      <formula>9</formula>
    </cfRule>
    <cfRule type="cellIs" priority="17" operator="between" aboveAverage="0" equalAverage="0" bottom="0" percent="0" rank="0" text="" dxfId="13">
      <formula>1</formula>
      <formula>4</formula>
    </cfRule>
  </conditionalFormatting>
  <dataValidations count="3">
    <dataValidation allowBlank="true" error="Likelihood and Impact must be a whole number 1 to 5." errorStyle="stop" errorTitle="Score out of range" operator="between" showDropDown="false" showErrorMessage="false" showInputMessage="false" sqref="D2:E6 H2:I6" type="list">
      <formula1>"1,2,3,4,5"</formula1>
      <formula2>0</formula2>
    </dataValidation>
    <dataValidation allowBlank="true" errorStyle="stop" operator="between" showDropDown="false" showErrorMessage="false" showInputMessage="false" sqref="K2:K6" type="list">
      <formula1>"Mitigate,Transfer,Avoid,Accept,Mitigate + Transfer,Mitigate + Accept"</formula1>
      <formula2>0</formula2>
    </dataValidation>
    <dataValidation allowBlank="true" errorStyle="stop" operator="between" showDropDown="false" showErrorMessage="false" showInputMessage="false" sqref="R2:R6" type="list">
      <formula1>"Open,In Treatment,Monitoring,Accepted,Closed"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8"/>
    <col collapsed="false" customWidth="true" hidden="false" outlineLevel="0" max="3" min="3" style="0" width="62"/>
    <col collapsed="false" customWidth="true" hidden="false" outlineLevel="0" max="4" min="4" style="0" width="32"/>
    <col collapsed="false" customWidth="true" hidden="false" outlineLevel="0" max="5" min="5" style="0" width="34"/>
    <col collapsed="false" customWidth="true" hidden="false" outlineLevel="0" max="6" min="6" style="0" width="32"/>
    <col collapsed="false" customWidth="true" hidden="false" outlineLevel="0" max="7" min="7" style="0" width="40"/>
  </cols>
  <sheetData>
    <row r="1" customFormat="false" ht="17.35" hidden="false" customHeight="false" outlineLevel="0" collapsed="false">
      <c r="A1" s="1" t="s">
        <v>170</v>
      </c>
    </row>
    <row r="2" customFormat="false" ht="15" hidden="false" customHeight="false" outlineLevel="0" collapsed="false">
      <c r="A2" s="2" t="s">
        <v>171</v>
      </c>
    </row>
    <row r="4" customFormat="false" ht="15" hidden="false" customHeight="false" outlineLevel="0" collapsed="false">
      <c r="A4" s="5" t="s">
        <v>172</v>
      </c>
    </row>
    <row r="5" customFormat="false" ht="15" hidden="false" customHeight="false" outlineLevel="0" collapsed="false">
      <c r="A5" s="10" t="s">
        <v>173</v>
      </c>
      <c r="B5" s="10" t="s">
        <v>174</v>
      </c>
      <c r="C5" s="10" t="s">
        <v>175</v>
      </c>
      <c r="D5" s="10" t="s">
        <v>176</v>
      </c>
      <c r="E5" s="10" t="s">
        <v>177</v>
      </c>
    </row>
    <row r="6" customFormat="false" ht="31.5" hidden="false" customHeight="true" outlineLevel="0" collapsed="false">
      <c r="A6" s="11" t="n">
        <v>1</v>
      </c>
      <c r="B6" s="11" t="s">
        <v>178</v>
      </c>
      <c r="C6" s="11" t="s">
        <v>179</v>
      </c>
      <c r="D6" s="12" t="s">
        <v>180</v>
      </c>
      <c r="E6" s="12" t="s">
        <v>181</v>
      </c>
    </row>
    <row r="7" customFormat="false" ht="31.5" hidden="false" customHeight="true" outlineLevel="0" collapsed="false">
      <c r="A7" s="11" t="n">
        <v>2</v>
      </c>
      <c r="B7" s="11" t="s">
        <v>182</v>
      </c>
      <c r="C7" s="11" t="s">
        <v>183</v>
      </c>
      <c r="D7" s="12" t="s">
        <v>184</v>
      </c>
      <c r="E7" s="12" t="s">
        <v>185</v>
      </c>
    </row>
    <row r="8" customFormat="false" ht="31.5" hidden="false" customHeight="true" outlineLevel="0" collapsed="false">
      <c r="A8" s="11" t="n">
        <v>3</v>
      </c>
      <c r="B8" s="11" t="s">
        <v>186</v>
      </c>
      <c r="C8" s="11" t="s">
        <v>187</v>
      </c>
      <c r="D8" s="12" t="s">
        <v>188</v>
      </c>
      <c r="E8" s="12" t="s">
        <v>189</v>
      </c>
    </row>
    <row r="9" customFormat="false" ht="31.5" hidden="false" customHeight="true" outlineLevel="0" collapsed="false">
      <c r="A9" s="11" t="n">
        <v>4</v>
      </c>
      <c r="B9" s="11" t="s">
        <v>190</v>
      </c>
      <c r="C9" s="11" t="s">
        <v>191</v>
      </c>
      <c r="D9" s="12" t="s">
        <v>192</v>
      </c>
      <c r="E9" s="12" t="s">
        <v>193</v>
      </c>
    </row>
    <row r="10" customFormat="false" ht="31.5" hidden="false" customHeight="true" outlineLevel="0" collapsed="false">
      <c r="A10" s="11" t="n">
        <v>5</v>
      </c>
      <c r="B10" s="11" t="s">
        <v>194</v>
      </c>
      <c r="C10" s="11" t="s">
        <v>195</v>
      </c>
      <c r="D10" s="12" t="s">
        <v>196</v>
      </c>
      <c r="E10" s="12" t="s">
        <v>197</v>
      </c>
    </row>
    <row r="12" customFormat="false" ht="15" hidden="false" customHeight="false" outlineLevel="0" collapsed="false">
      <c r="A12" s="5" t="s">
        <v>198</v>
      </c>
    </row>
    <row r="13" customFormat="false" ht="15" hidden="false" customHeight="false" outlineLevel="0" collapsed="false">
      <c r="A13" s="10" t="s">
        <v>173</v>
      </c>
      <c r="B13" s="10" t="s">
        <v>174</v>
      </c>
      <c r="C13" s="10" t="s">
        <v>199</v>
      </c>
      <c r="D13" s="10" t="s">
        <v>200</v>
      </c>
      <c r="E13" s="10" t="s">
        <v>201</v>
      </c>
      <c r="F13" s="10" t="s">
        <v>202</v>
      </c>
      <c r="G13" s="10" t="s">
        <v>203</v>
      </c>
    </row>
    <row r="14" customFormat="false" ht="48" hidden="false" customHeight="true" outlineLevel="0" collapsed="false">
      <c r="A14" s="11" t="n">
        <v>1</v>
      </c>
      <c r="B14" s="11" t="s">
        <v>204</v>
      </c>
      <c r="C14" s="12" t="s">
        <v>205</v>
      </c>
      <c r="D14" s="12" t="s">
        <v>206</v>
      </c>
      <c r="E14" s="12" t="s">
        <v>207</v>
      </c>
      <c r="F14" s="12" t="s">
        <v>208</v>
      </c>
      <c r="G14" s="12" t="s">
        <v>209</v>
      </c>
    </row>
    <row r="15" customFormat="false" ht="48" hidden="false" customHeight="true" outlineLevel="0" collapsed="false">
      <c r="A15" s="11" t="n">
        <v>2</v>
      </c>
      <c r="B15" s="11" t="s">
        <v>210</v>
      </c>
      <c r="C15" s="12" t="s">
        <v>211</v>
      </c>
      <c r="D15" s="12" t="s">
        <v>212</v>
      </c>
      <c r="E15" s="12" t="s">
        <v>213</v>
      </c>
      <c r="F15" s="12" t="s">
        <v>214</v>
      </c>
      <c r="G15" s="12" t="s">
        <v>215</v>
      </c>
    </row>
    <row r="16" customFormat="false" ht="48" hidden="false" customHeight="true" outlineLevel="0" collapsed="false">
      <c r="A16" s="11" t="n">
        <v>3</v>
      </c>
      <c r="B16" s="11" t="s">
        <v>216</v>
      </c>
      <c r="C16" s="12" t="s">
        <v>217</v>
      </c>
      <c r="D16" s="12" t="s">
        <v>218</v>
      </c>
      <c r="E16" s="12" t="s">
        <v>219</v>
      </c>
      <c r="F16" s="12" t="s">
        <v>220</v>
      </c>
      <c r="G16" s="12" t="s">
        <v>221</v>
      </c>
    </row>
    <row r="17" customFormat="false" ht="48" hidden="false" customHeight="true" outlineLevel="0" collapsed="false">
      <c r="A17" s="11" t="n">
        <v>4</v>
      </c>
      <c r="B17" s="11" t="s">
        <v>222</v>
      </c>
      <c r="C17" s="12" t="s">
        <v>223</v>
      </c>
      <c r="D17" s="12" t="s">
        <v>224</v>
      </c>
      <c r="E17" s="12" t="s">
        <v>225</v>
      </c>
      <c r="F17" s="12" t="s">
        <v>226</v>
      </c>
      <c r="G17" s="12" t="s">
        <v>227</v>
      </c>
    </row>
    <row r="18" customFormat="false" ht="48" hidden="false" customHeight="true" outlineLevel="0" collapsed="false">
      <c r="A18" s="11" t="n">
        <v>5</v>
      </c>
      <c r="B18" s="11" t="s">
        <v>228</v>
      </c>
      <c r="C18" s="12" t="s">
        <v>229</v>
      </c>
      <c r="D18" s="12" t="s">
        <v>230</v>
      </c>
      <c r="E18" s="12" t="s">
        <v>231</v>
      </c>
      <c r="F18" s="12" t="s">
        <v>232</v>
      </c>
      <c r="G18" s="12" t="s">
        <v>233</v>
      </c>
    </row>
    <row r="20" customFormat="false" ht="15" hidden="false" customHeight="false" outlineLevel="0" collapsed="false">
      <c r="A20" s="5" t="s">
        <v>234</v>
      </c>
    </row>
    <row r="21" customFormat="false" ht="15" hidden="false" customHeight="false" outlineLevel="0" collapsed="false">
      <c r="A21" s="10" t="s">
        <v>235</v>
      </c>
      <c r="B21" s="10" t="s">
        <v>236</v>
      </c>
      <c r="C21" s="10" t="s">
        <v>237</v>
      </c>
      <c r="D21" s="10" t="s">
        <v>238</v>
      </c>
      <c r="E21" s="10" t="s">
        <v>239</v>
      </c>
    </row>
    <row r="22" customFormat="false" ht="30" hidden="false" customHeight="true" outlineLevel="0" collapsed="false">
      <c r="A22" s="11" t="s">
        <v>240</v>
      </c>
      <c r="B22" s="11" t="s">
        <v>241</v>
      </c>
      <c r="C22" s="12" t="s">
        <v>242</v>
      </c>
      <c r="D22" s="11" t="s">
        <v>243</v>
      </c>
      <c r="E22" s="11" t="s">
        <v>244</v>
      </c>
    </row>
    <row r="23" customFormat="false" ht="30" hidden="false" customHeight="true" outlineLevel="0" collapsed="false">
      <c r="A23" s="11" t="s">
        <v>245</v>
      </c>
      <c r="B23" s="11" t="s">
        <v>246</v>
      </c>
      <c r="C23" s="12" t="s">
        <v>247</v>
      </c>
      <c r="D23" s="11" t="s">
        <v>145</v>
      </c>
      <c r="E23" s="11" t="s">
        <v>248</v>
      </c>
    </row>
    <row r="24" customFormat="false" ht="30" hidden="false" customHeight="true" outlineLevel="0" collapsed="false">
      <c r="A24" s="11" t="s">
        <v>249</v>
      </c>
      <c r="B24" s="11" t="s">
        <v>250</v>
      </c>
      <c r="C24" s="12" t="s">
        <v>251</v>
      </c>
      <c r="D24" s="11" t="s">
        <v>252</v>
      </c>
      <c r="E24" s="11" t="s">
        <v>253</v>
      </c>
    </row>
    <row r="25" customFormat="false" ht="30" hidden="false" customHeight="true" outlineLevel="0" collapsed="false">
      <c r="A25" s="11" t="s">
        <v>254</v>
      </c>
      <c r="B25" s="11" t="s">
        <v>255</v>
      </c>
      <c r="C25" s="12" t="s">
        <v>256</v>
      </c>
      <c r="D25" s="11" t="s">
        <v>257</v>
      </c>
      <c r="E25" s="11" t="s">
        <v>258</v>
      </c>
    </row>
    <row r="27" customFormat="false" ht="15" hidden="false" customHeight="false" outlineLevel="0" collapsed="false">
      <c r="A27" s="5" t="s">
        <v>259</v>
      </c>
    </row>
    <row r="28" customFormat="false" ht="15" hidden="false" customHeight="false" outlineLevel="0" collapsed="false">
      <c r="A28" s="10" t="s">
        <v>260</v>
      </c>
      <c r="B28" s="10" t="s">
        <v>261</v>
      </c>
      <c r="C28" s="10" t="s">
        <v>262</v>
      </c>
    </row>
    <row r="29" customFormat="false" ht="42" hidden="false" customHeight="true" outlineLevel="0" collapsed="false">
      <c r="A29" s="11" t="s">
        <v>143</v>
      </c>
      <c r="B29" s="12" t="s">
        <v>263</v>
      </c>
      <c r="C29" s="12" t="s">
        <v>264</v>
      </c>
    </row>
    <row r="30" customFormat="false" ht="42" hidden="false" customHeight="true" outlineLevel="0" collapsed="false">
      <c r="A30" s="11" t="s">
        <v>265</v>
      </c>
      <c r="B30" s="12" t="s">
        <v>266</v>
      </c>
      <c r="C30" s="12" t="s">
        <v>267</v>
      </c>
    </row>
    <row r="31" customFormat="false" ht="42" hidden="false" customHeight="true" outlineLevel="0" collapsed="false">
      <c r="A31" s="11" t="s">
        <v>268</v>
      </c>
      <c r="B31" s="12" t="s">
        <v>269</v>
      </c>
      <c r="C31" s="12" t="s">
        <v>270</v>
      </c>
    </row>
    <row r="32" customFormat="false" ht="42" hidden="false" customHeight="true" outlineLevel="0" collapsed="false">
      <c r="A32" s="11" t="s">
        <v>271</v>
      </c>
      <c r="B32" s="12" t="s">
        <v>272</v>
      </c>
      <c r="C32" s="12" t="s">
        <v>273</v>
      </c>
    </row>
    <row r="34" customFormat="false" ht="15" hidden="false" customHeight="false" outlineLevel="0" collapsed="false">
      <c r="A34" s="2" t="s">
        <v>274</v>
      </c>
    </row>
    <row r="35" customFormat="false" ht="15" hidden="false" customHeight="false" outlineLevel="0" collapsed="false">
      <c r="A35" s="2" t="s">
        <v>275</v>
      </c>
    </row>
    <row r="36" customFormat="false" ht="15" hidden="false" customHeight="false" outlineLevel="0" collapsed="false">
      <c r="A36" s="2" t="s">
        <v>276</v>
      </c>
    </row>
    <row r="37" customFormat="false" ht="15" hidden="false" customHeight="false" outlineLevel="0" collapsed="false">
      <c r="A37" s="2"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4"/>
    <col collapsed="false" customWidth="true" hidden="false" outlineLevel="0" max="4" min="4" style="0" width="10"/>
    <col collapsed="false" customWidth="true" hidden="false" outlineLevel="0" max="5" min="5" style="0" width="14"/>
    <col collapsed="false" customWidth="true" hidden="false" outlineLevel="0" max="6" min="6" style="0" width="11"/>
    <col collapsed="false" customWidth="true" hidden="false" outlineLevel="0" max="7" min="7" style="0" width="30"/>
    <col collapsed="false" customWidth="true" hidden="false" outlineLevel="0" max="8" min="8" style="0" width="110"/>
  </cols>
  <sheetData>
    <row r="1" customFormat="false" ht="17.35" hidden="false" customHeight="false" outlineLevel="0" collapsed="false">
      <c r="A1" s="1" t="s">
        <v>278</v>
      </c>
    </row>
    <row r="2" customFormat="false" ht="15" hidden="false" customHeight="false" outlineLevel="0" collapsed="false">
      <c r="A2" s="2" t="s">
        <v>279</v>
      </c>
    </row>
    <row r="4" customFormat="false" ht="23.85" hidden="false" customHeight="false" outlineLevel="0" collapsed="false">
      <c r="A4" s="10" t="s">
        <v>120</v>
      </c>
      <c r="B4" s="10" t="s">
        <v>280</v>
      </c>
      <c r="C4" s="10" t="s">
        <v>281</v>
      </c>
      <c r="D4" s="10" t="s">
        <v>282</v>
      </c>
      <c r="E4" s="10" t="s">
        <v>283</v>
      </c>
      <c r="F4" s="10" t="s">
        <v>284</v>
      </c>
      <c r="G4" s="10" t="s">
        <v>285</v>
      </c>
      <c r="H4" s="10" t="s">
        <v>286</v>
      </c>
    </row>
    <row r="5" customFormat="false" ht="150" hidden="false" customHeight="true" outlineLevel="0" collapsed="false">
      <c r="A5" s="11" t="s">
        <v>139</v>
      </c>
      <c r="B5" s="11" t="n">
        <v>20</v>
      </c>
      <c r="C5" s="11" t="s">
        <v>255</v>
      </c>
      <c r="D5" s="11" t="n">
        <v>6</v>
      </c>
      <c r="E5" s="11" t="s">
        <v>246</v>
      </c>
      <c r="F5" s="11" t="n">
        <v>14</v>
      </c>
      <c r="G5" s="11" t="s">
        <v>145</v>
      </c>
      <c r="H5" s="12" t="s">
        <v>287</v>
      </c>
    </row>
    <row r="6" customFormat="false" ht="150" hidden="false" customHeight="true" outlineLevel="0" collapsed="false">
      <c r="A6" s="11" t="s">
        <v>149</v>
      </c>
      <c r="B6" s="11" t="n">
        <v>20</v>
      </c>
      <c r="C6" s="11" t="s">
        <v>255</v>
      </c>
      <c r="D6" s="11" t="n">
        <v>8</v>
      </c>
      <c r="E6" s="11" t="s">
        <v>246</v>
      </c>
      <c r="F6" s="11" t="n">
        <v>12</v>
      </c>
      <c r="G6" s="11" t="s">
        <v>145</v>
      </c>
      <c r="H6" s="12" t="s">
        <v>288</v>
      </c>
    </row>
    <row r="7" customFormat="false" ht="150" hidden="false" customHeight="true" outlineLevel="0" collapsed="false">
      <c r="A7" s="11" t="s">
        <v>154</v>
      </c>
      <c r="B7" s="11" t="n">
        <v>12</v>
      </c>
      <c r="C7" s="11" t="s">
        <v>250</v>
      </c>
      <c r="D7" s="11" t="n">
        <v>6</v>
      </c>
      <c r="E7" s="11" t="s">
        <v>246</v>
      </c>
      <c r="F7" s="11" t="n">
        <v>6</v>
      </c>
      <c r="G7" s="11" t="s">
        <v>159</v>
      </c>
      <c r="H7" s="12" t="s">
        <v>289</v>
      </c>
    </row>
    <row r="8" customFormat="false" ht="150" hidden="false" customHeight="true" outlineLevel="0" collapsed="false">
      <c r="A8" s="11" t="s">
        <v>161</v>
      </c>
      <c r="B8" s="11" t="n">
        <v>20</v>
      </c>
      <c r="C8" s="11" t="s">
        <v>255</v>
      </c>
      <c r="D8" s="11" t="n">
        <v>12</v>
      </c>
      <c r="E8" s="11" t="s">
        <v>250</v>
      </c>
      <c r="F8" s="11" t="n">
        <v>8</v>
      </c>
      <c r="G8" s="11" t="s">
        <v>145</v>
      </c>
      <c r="H8" s="12" t="s">
        <v>290</v>
      </c>
    </row>
    <row r="9" customFormat="false" ht="150" hidden="false" customHeight="true" outlineLevel="0" collapsed="false">
      <c r="A9" s="11" t="s">
        <v>166</v>
      </c>
      <c r="B9" s="11" t="n">
        <v>20</v>
      </c>
      <c r="C9" s="11" t="s">
        <v>255</v>
      </c>
      <c r="D9" s="11" t="n">
        <v>12</v>
      </c>
      <c r="E9" s="11" t="s">
        <v>250</v>
      </c>
      <c r="F9" s="11" t="n">
        <v>8</v>
      </c>
      <c r="G9" s="11" t="s">
        <v>145</v>
      </c>
      <c r="H9" s="12" t="s">
        <v>291</v>
      </c>
    </row>
    <row r="11" customFormat="false" ht="15" hidden="false" customHeight="false" outlineLevel="0" collapsed="false">
      <c r="A11" s="5" t="s">
        <v>292</v>
      </c>
    </row>
    <row r="12" customFormat="false" ht="15" hidden="false" customHeight="true" outlineLevel="0" collapsed="false">
      <c r="A12" s="4" t="s">
        <v>293</v>
      </c>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4"/>
      <c r="B14" s="4"/>
      <c r="C14" s="4"/>
      <c r="D14" s="4"/>
      <c r="E14" s="4"/>
      <c r="F14" s="4"/>
      <c r="G14" s="4"/>
      <c r="H14" s="4"/>
    </row>
    <row r="15" customFormat="false" ht="15" hidden="false" customHeight="false" outlineLevel="0" collapsed="false">
      <c r="A15" s="4"/>
      <c r="B15" s="4"/>
      <c r="C15" s="4"/>
      <c r="D15" s="4"/>
      <c r="E15" s="4"/>
      <c r="F15" s="4"/>
      <c r="G15" s="4"/>
      <c r="H15" s="4"/>
    </row>
    <row r="16" customFormat="false" ht="15" hidden="false" customHeight="false" outlineLevel="0" collapsed="false">
      <c r="A16" s="4"/>
      <c r="B16" s="4"/>
      <c r="C16" s="4"/>
      <c r="D16" s="4"/>
      <c r="E16" s="4"/>
      <c r="F16" s="4"/>
      <c r="G16" s="4"/>
      <c r="H16" s="4"/>
    </row>
  </sheetData>
  <mergeCells count="1">
    <mergeCell ref="A12: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J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8"/>
    <col collapsed="false" customWidth="true" hidden="false" outlineLevel="0" max="4" min="4" style="0" width="74"/>
    <col collapsed="false" customWidth="true" hidden="false" outlineLevel="0" max="5" min="5" style="0" width="20"/>
    <col collapsed="false" customWidth="true" hidden="false" outlineLevel="0" max="6" min="6" style="0" width="32"/>
    <col collapsed="false" customWidth="true" hidden="false" outlineLevel="0" max="7" min="7" style="0" width="15"/>
    <col collapsed="false" customWidth="true" hidden="false" outlineLevel="0" max="8" min="8" style="0" width="28"/>
    <col collapsed="false" customWidth="true" hidden="false" outlineLevel="0" max="9" min="9" style="0" width="17"/>
    <col collapsed="false" customWidth="true" hidden="false" outlineLevel="0" max="10" min="10" style="0" width="15"/>
  </cols>
  <sheetData>
    <row r="1" customFormat="false" ht="17.35" hidden="false" customHeight="false" outlineLevel="0" collapsed="false">
      <c r="A1" s="1" t="s">
        <v>294</v>
      </c>
    </row>
    <row r="2" customFormat="false" ht="15" hidden="false" customHeight="false" outlineLevel="0" collapsed="false">
      <c r="A2" s="2" t="s">
        <v>295</v>
      </c>
    </row>
    <row r="4" customFormat="false" ht="23.85" hidden="false" customHeight="false" outlineLevel="0" collapsed="false">
      <c r="A4" s="10" t="s">
        <v>296</v>
      </c>
      <c r="B4" s="10" t="s">
        <v>120</v>
      </c>
      <c r="C4" s="10" t="s">
        <v>260</v>
      </c>
      <c r="D4" s="10" t="s">
        <v>297</v>
      </c>
      <c r="E4" s="10" t="s">
        <v>298</v>
      </c>
      <c r="F4" s="10" t="s">
        <v>299</v>
      </c>
      <c r="G4" s="10" t="s">
        <v>300</v>
      </c>
      <c r="H4" s="10" t="s">
        <v>301</v>
      </c>
      <c r="I4" s="10" t="s">
        <v>302</v>
      </c>
      <c r="J4" s="10" t="s">
        <v>303</v>
      </c>
    </row>
    <row r="5" customFormat="false" ht="63.75" hidden="false" customHeight="true" outlineLevel="0" collapsed="false">
      <c r="A5" s="11" t="s">
        <v>304</v>
      </c>
      <c r="B5" s="11" t="s">
        <v>139</v>
      </c>
      <c r="C5" s="11" t="s">
        <v>143</v>
      </c>
      <c r="D5" s="12" t="s">
        <v>305</v>
      </c>
      <c r="E5" s="11" t="s">
        <v>306</v>
      </c>
      <c r="F5" s="12" t="s">
        <v>307</v>
      </c>
      <c r="G5" s="16" t="n">
        <v>2500</v>
      </c>
      <c r="H5" s="11" t="s">
        <v>144</v>
      </c>
      <c r="I5" s="11" t="s">
        <v>308</v>
      </c>
      <c r="J5" s="13" t="n">
        <v>3</v>
      </c>
    </row>
    <row r="6" customFormat="false" ht="63.75" hidden="false" customHeight="true" outlineLevel="0" collapsed="false">
      <c r="A6" s="11" t="s">
        <v>309</v>
      </c>
      <c r="B6" s="11" t="s">
        <v>139</v>
      </c>
      <c r="C6" s="11" t="s">
        <v>143</v>
      </c>
      <c r="D6" s="12" t="s">
        <v>310</v>
      </c>
      <c r="E6" s="11" t="s">
        <v>311</v>
      </c>
      <c r="F6" s="12" t="s">
        <v>312</v>
      </c>
      <c r="G6" s="16" t="n">
        <v>1800</v>
      </c>
      <c r="H6" s="11" t="s">
        <v>158</v>
      </c>
      <c r="I6" s="11" t="s">
        <v>313</v>
      </c>
      <c r="J6" s="13" t="n">
        <v>3</v>
      </c>
    </row>
    <row r="7" customFormat="false" ht="63.75" hidden="false" customHeight="true" outlineLevel="0" collapsed="false">
      <c r="A7" s="11" t="s">
        <v>314</v>
      </c>
      <c r="B7" s="11" t="s">
        <v>149</v>
      </c>
      <c r="C7" s="11" t="s">
        <v>143</v>
      </c>
      <c r="D7" s="12" t="s">
        <v>315</v>
      </c>
      <c r="E7" s="11" t="s">
        <v>316</v>
      </c>
      <c r="F7" s="12" t="s">
        <v>317</v>
      </c>
      <c r="G7" s="16" t="n">
        <v>0</v>
      </c>
      <c r="H7" s="11" t="s">
        <v>145</v>
      </c>
      <c r="I7" s="11" t="s">
        <v>308</v>
      </c>
      <c r="J7" s="13" t="n">
        <v>4</v>
      </c>
    </row>
    <row r="8" customFormat="false" ht="63.75" hidden="false" customHeight="true" outlineLevel="0" collapsed="false">
      <c r="A8" s="11" t="s">
        <v>318</v>
      </c>
      <c r="B8" s="11" t="s">
        <v>149</v>
      </c>
      <c r="C8" s="11" t="s">
        <v>265</v>
      </c>
      <c r="D8" s="12" t="s">
        <v>319</v>
      </c>
      <c r="E8" s="11" t="s">
        <v>199</v>
      </c>
      <c r="F8" s="12" t="s">
        <v>320</v>
      </c>
      <c r="G8" s="16" t="n">
        <v>9000</v>
      </c>
      <c r="H8" s="11" t="s">
        <v>252</v>
      </c>
      <c r="I8" s="11" t="s">
        <v>148</v>
      </c>
      <c r="J8" s="13" t="n">
        <v>6</v>
      </c>
    </row>
    <row r="9" customFormat="false" ht="63.75" hidden="false" customHeight="true" outlineLevel="0" collapsed="false">
      <c r="A9" s="11" t="s">
        <v>321</v>
      </c>
      <c r="B9" s="11" t="s">
        <v>149</v>
      </c>
      <c r="C9" s="11" t="s">
        <v>143</v>
      </c>
      <c r="D9" s="12" t="s">
        <v>322</v>
      </c>
      <c r="E9" s="11" t="s">
        <v>311</v>
      </c>
      <c r="F9" s="12" t="s">
        <v>323</v>
      </c>
      <c r="G9" s="16" t="n">
        <v>4200</v>
      </c>
      <c r="H9" s="11" t="s">
        <v>144</v>
      </c>
      <c r="I9" s="11" t="s">
        <v>324</v>
      </c>
      <c r="J9" s="13" t="n">
        <v>6</v>
      </c>
    </row>
    <row r="10" customFormat="false" ht="63.75" hidden="false" customHeight="true" outlineLevel="0" collapsed="false">
      <c r="A10" s="11" t="s">
        <v>325</v>
      </c>
      <c r="B10" s="11" t="s">
        <v>154</v>
      </c>
      <c r="C10" s="11" t="s">
        <v>143</v>
      </c>
      <c r="D10" s="12" t="s">
        <v>326</v>
      </c>
      <c r="E10" s="11" t="s">
        <v>327</v>
      </c>
      <c r="F10" s="12" t="s">
        <v>328</v>
      </c>
      <c r="G10" s="16" t="n">
        <v>2400</v>
      </c>
      <c r="H10" s="11" t="s">
        <v>144</v>
      </c>
      <c r="I10" s="11" t="s">
        <v>324</v>
      </c>
      <c r="J10" s="13" t="n">
        <v>4</v>
      </c>
    </row>
    <row r="11" customFormat="false" ht="63.75" hidden="false" customHeight="true" outlineLevel="0" collapsed="false">
      <c r="A11" s="11" t="s">
        <v>329</v>
      </c>
      <c r="B11" s="11" t="s">
        <v>161</v>
      </c>
      <c r="C11" s="11" t="s">
        <v>143</v>
      </c>
      <c r="D11" s="12" t="s">
        <v>330</v>
      </c>
      <c r="E11" s="11" t="s">
        <v>306</v>
      </c>
      <c r="F11" s="12" t="s">
        <v>331</v>
      </c>
      <c r="G11" s="16" t="n">
        <v>0</v>
      </c>
      <c r="H11" s="11" t="s">
        <v>145</v>
      </c>
      <c r="I11" s="11" t="s">
        <v>313</v>
      </c>
      <c r="J11" s="13" t="n">
        <v>8</v>
      </c>
    </row>
    <row r="12" customFormat="false" ht="63.75" hidden="false" customHeight="true" outlineLevel="0" collapsed="false">
      <c r="A12" s="11" t="s">
        <v>332</v>
      </c>
      <c r="B12" s="11" t="s">
        <v>161</v>
      </c>
      <c r="C12" s="11" t="s">
        <v>143</v>
      </c>
      <c r="D12" s="12" t="s">
        <v>333</v>
      </c>
      <c r="E12" s="11" t="s">
        <v>311</v>
      </c>
      <c r="F12" s="12" t="s">
        <v>331</v>
      </c>
      <c r="G12" s="16" t="n">
        <v>11000</v>
      </c>
      <c r="H12" s="11" t="s">
        <v>145</v>
      </c>
      <c r="I12" s="11" t="s">
        <v>324</v>
      </c>
      <c r="J12" s="13" t="n">
        <v>6</v>
      </c>
    </row>
    <row r="13" customFormat="false" ht="63.75" hidden="false" customHeight="true" outlineLevel="0" collapsed="false">
      <c r="A13" s="11" t="s">
        <v>334</v>
      </c>
      <c r="B13" s="11" t="s">
        <v>166</v>
      </c>
      <c r="C13" s="11" t="s">
        <v>143</v>
      </c>
      <c r="D13" s="12" t="s">
        <v>335</v>
      </c>
      <c r="E13" s="11" t="s">
        <v>311</v>
      </c>
      <c r="F13" s="12" t="s">
        <v>336</v>
      </c>
      <c r="G13" s="16" t="n">
        <v>1200</v>
      </c>
      <c r="H13" s="11" t="s">
        <v>145</v>
      </c>
      <c r="I13" s="11" t="s">
        <v>313</v>
      </c>
      <c r="J13" s="13" t="n">
        <v>6</v>
      </c>
    </row>
    <row r="14" customFormat="false" ht="63.75" hidden="false" customHeight="true" outlineLevel="0" collapsed="false">
      <c r="A14" s="11" t="s">
        <v>337</v>
      </c>
      <c r="B14" s="11" t="s">
        <v>166</v>
      </c>
      <c r="C14" s="11" t="s">
        <v>143</v>
      </c>
      <c r="D14" s="12" t="s">
        <v>338</v>
      </c>
      <c r="E14" s="11" t="s">
        <v>306</v>
      </c>
      <c r="F14" s="12" t="s">
        <v>339</v>
      </c>
      <c r="G14" s="16" t="n">
        <v>0</v>
      </c>
      <c r="H14" s="11" t="s">
        <v>145</v>
      </c>
      <c r="I14" s="11" t="s">
        <v>340</v>
      </c>
      <c r="J14" s="13" t="n">
        <v>4</v>
      </c>
    </row>
    <row r="15" customFormat="false" ht="15" hidden="false" customHeight="false" outlineLevel="0" collapsed="false">
      <c r="F15" s="17" t="s">
        <v>341</v>
      </c>
      <c r="G15" s="18" t="n">
        <f aca="false">SUM(G5:G14)</f>
        <v>32100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70"/>
    <col collapsed="false" customWidth="true" hidden="false" outlineLevel="0" max="4" min="4" style="0" width="24"/>
    <col collapsed="false" customWidth="true" hidden="false" outlineLevel="0" max="5" min="5" style="0" width="48"/>
    <col collapsed="false" customWidth="true" hidden="false" outlineLevel="0" max="6" min="6" style="0" width="44"/>
    <col collapsed="false" customWidth="true" hidden="false" outlineLevel="0" max="8" min="7" style="0" width="14"/>
    <col collapsed="false" customWidth="true" hidden="false" outlineLevel="0" max="9" min="9" style="0" width="34"/>
  </cols>
  <sheetData>
    <row r="1" customFormat="false" ht="17.35" hidden="false" customHeight="false" outlineLevel="0" collapsed="false">
      <c r="A1" s="1" t="s">
        <v>342</v>
      </c>
    </row>
    <row r="2" customFormat="false" ht="15" hidden="false" customHeight="false" outlineLevel="0" collapsed="false">
      <c r="A2" s="2" t="s">
        <v>343</v>
      </c>
    </row>
    <row r="4" customFormat="false" ht="15" hidden="false" customHeight="false" outlineLevel="0" collapsed="false">
      <c r="A4" s="5" t="s">
        <v>344</v>
      </c>
    </row>
    <row r="5" customFormat="false" ht="15" hidden="false" customHeight="false" outlineLevel="0" collapsed="false">
      <c r="A5" s="10" t="s">
        <v>345</v>
      </c>
      <c r="B5" s="10" t="s">
        <v>346</v>
      </c>
      <c r="C5" s="10" t="s">
        <v>347</v>
      </c>
      <c r="D5" s="10" t="s">
        <v>348</v>
      </c>
      <c r="E5" s="10" t="s">
        <v>349</v>
      </c>
      <c r="F5" s="10" t="s">
        <v>350</v>
      </c>
      <c r="G5" s="10" t="s">
        <v>74</v>
      </c>
      <c r="H5" s="10" t="s">
        <v>351</v>
      </c>
      <c r="I5" s="10" t="s">
        <v>352</v>
      </c>
    </row>
    <row r="6" customFormat="false" ht="90" hidden="false" customHeight="true" outlineLevel="0" collapsed="false">
      <c r="A6" s="11" t="s">
        <v>353</v>
      </c>
      <c r="B6" s="11" t="s">
        <v>354</v>
      </c>
      <c r="C6" s="12" t="s">
        <v>355</v>
      </c>
      <c r="D6" s="12" t="s">
        <v>356</v>
      </c>
      <c r="E6" s="12" t="s">
        <v>357</v>
      </c>
      <c r="F6" s="12" t="s">
        <v>358</v>
      </c>
      <c r="G6" s="11" t="s">
        <v>359</v>
      </c>
      <c r="H6" s="11" t="s">
        <v>360</v>
      </c>
      <c r="I6" s="12" t="s">
        <v>361</v>
      </c>
    </row>
    <row r="8" customFormat="false" ht="15" hidden="false" customHeight="false" outlineLevel="0" collapsed="false">
      <c r="A8" s="5" t="s">
        <v>362</v>
      </c>
    </row>
    <row r="9" customFormat="false" ht="15" hidden="false" customHeight="false" outlineLevel="0" collapsed="false">
      <c r="A9" s="10" t="s">
        <v>363</v>
      </c>
      <c r="B9" s="10" t="s">
        <v>364</v>
      </c>
      <c r="C9" s="10" t="s">
        <v>365</v>
      </c>
      <c r="D9" s="10" t="s">
        <v>366</v>
      </c>
    </row>
    <row r="10" customFormat="false" ht="72" hidden="false" customHeight="true" outlineLevel="0" collapsed="false">
      <c r="A10" s="11" t="s">
        <v>367</v>
      </c>
      <c r="B10" s="12" t="s">
        <v>368</v>
      </c>
      <c r="C10" s="12" t="s">
        <v>369</v>
      </c>
      <c r="D10" s="11" t="s">
        <v>370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6"/>
    <col collapsed="false" customWidth="true" hidden="false" outlineLevel="0" max="3" min="3" style="0" width="16"/>
    <col collapsed="false" customWidth="true" hidden="false" outlineLevel="0" max="4" min="4" style="0" width="62"/>
    <col collapsed="false" customWidth="true" hidden="false" outlineLevel="0" max="5" min="5" style="0" width="16"/>
  </cols>
  <sheetData>
    <row r="1" customFormat="false" ht="17.35" hidden="false" customHeight="false" outlineLevel="0" collapsed="false">
      <c r="A1" s="1" t="s">
        <v>371</v>
      </c>
    </row>
    <row r="2" customFormat="false" ht="15" hidden="false" customHeight="false" outlineLevel="0" collapsed="false">
      <c r="A2" s="2" t="s">
        <v>372</v>
      </c>
    </row>
    <row r="4" customFormat="false" ht="15" hidden="false" customHeight="false" outlineLevel="0" collapsed="false">
      <c r="A4" s="10" t="s">
        <v>373</v>
      </c>
      <c r="B4" s="10" t="s">
        <v>374</v>
      </c>
      <c r="C4" s="10" t="s">
        <v>375</v>
      </c>
      <c r="D4" s="10" t="s">
        <v>376</v>
      </c>
      <c r="E4" s="10" t="s">
        <v>377</v>
      </c>
    </row>
    <row r="5" customFormat="false" ht="54" hidden="false" customHeight="true" outlineLevel="0" collapsed="false">
      <c r="A5" s="11" t="s">
        <v>378</v>
      </c>
      <c r="B5" s="12" t="s">
        <v>379</v>
      </c>
      <c r="C5" s="11" t="s">
        <v>149</v>
      </c>
      <c r="D5" s="12" t="s">
        <v>380</v>
      </c>
      <c r="E5" s="11" t="s">
        <v>314</v>
      </c>
    </row>
    <row r="6" customFormat="false" ht="54" hidden="false" customHeight="true" outlineLevel="0" collapsed="false">
      <c r="A6" s="11" t="s">
        <v>381</v>
      </c>
      <c r="B6" s="12" t="s">
        <v>382</v>
      </c>
      <c r="C6" s="11" t="s">
        <v>161</v>
      </c>
      <c r="D6" s="12" t="s">
        <v>383</v>
      </c>
      <c r="E6" s="11" t="s">
        <v>384</v>
      </c>
    </row>
    <row r="7" customFormat="false" ht="54" hidden="false" customHeight="true" outlineLevel="0" collapsed="false">
      <c r="A7" s="11" t="s">
        <v>385</v>
      </c>
      <c r="B7" s="12" t="s">
        <v>386</v>
      </c>
      <c r="C7" s="11" t="s">
        <v>166</v>
      </c>
      <c r="D7" s="12" t="s">
        <v>387</v>
      </c>
      <c r="E7" s="11" t="s">
        <v>388</v>
      </c>
    </row>
    <row r="8" customFormat="false" ht="54" hidden="false" customHeight="true" outlineLevel="0" collapsed="false">
      <c r="A8" s="11" t="s">
        <v>389</v>
      </c>
      <c r="B8" s="12" t="s">
        <v>390</v>
      </c>
      <c r="C8" s="11" t="s">
        <v>391</v>
      </c>
      <c r="D8" s="12" t="s">
        <v>392</v>
      </c>
      <c r="E8" s="11" t="s">
        <v>309</v>
      </c>
    </row>
    <row r="9" customFormat="false" ht="54" hidden="false" customHeight="true" outlineLevel="0" collapsed="false">
      <c r="A9" s="11" t="s">
        <v>393</v>
      </c>
      <c r="B9" s="12" t="s">
        <v>394</v>
      </c>
      <c r="C9" s="11" t="s">
        <v>154</v>
      </c>
      <c r="D9" s="12" t="s">
        <v>395</v>
      </c>
      <c r="E9" s="11" t="s">
        <v>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4"/>
    <col collapsed="false" customWidth="true" hidden="false" outlineLevel="0" max="3" min="3" style="0" width="16"/>
    <col collapsed="false" customWidth="true" hidden="false" outlineLevel="0" max="4" min="4" style="0" width="42"/>
    <col collapsed="false" customWidth="true" hidden="false" outlineLevel="0" max="5" min="5" style="0" width="46"/>
    <col collapsed="false" customWidth="true" hidden="false" outlineLevel="0" max="6" min="6" style="0" width="18"/>
    <col collapsed="false" customWidth="true" hidden="false" outlineLevel="0" max="7" min="7" style="0" width="30"/>
  </cols>
  <sheetData>
    <row r="1" customFormat="false" ht="17.35" hidden="false" customHeight="false" outlineLevel="0" collapsed="false">
      <c r="A1" s="1" t="s">
        <v>396</v>
      </c>
    </row>
    <row r="2" customFormat="false" ht="15" hidden="false" customHeight="false" outlineLevel="0" collapsed="false">
      <c r="A2" s="2" t="s">
        <v>397</v>
      </c>
    </row>
    <row r="4" customFormat="false" ht="15" hidden="false" customHeight="false" outlineLevel="0" collapsed="false">
      <c r="A4" s="10" t="s">
        <v>398</v>
      </c>
      <c r="B4" s="10" t="s">
        <v>399</v>
      </c>
      <c r="C4" s="10" t="s">
        <v>346</v>
      </c>
      <c r="D4" s="10" t="s">
        <v>400</v>
      </c>
      <c r="E4" s="10" t="s">
        <v>401</v>
      </c>
      <c r="F4" s="10" t="s">
        <v>402</v>
      </c>
      <c r="G4" s="10" t="s">
        <v>403</v>
      </c>
    </row>
    <row r="5" customFormat="false" ht="42" hidden="false" customHeight="true" outlineLevel="0" collapsed="false">
      <c r="A5" s="11" t="s">
        <v>404</v>
      </c>
      <c r="B5" s="12" t="s">
        <v>405</v>
      </c>
      <c r="C5" s="11" t="s">
        <v>406</v>
      </c>
      <c r="D5" s="12" t="s">
        <v>407</v>
      </c>
      <c r="E5" s="12" t="s">
        <v>408</v>
      </c>
      <c r="F5" s="11" t="s">
        <v>253</v>
      </c>
      <c r="G5" s="11" t="s">
        <v>144</v>
      </c>
    </row>
    <row r="6" customFormat="false" ht="42" hidden="false" customHeight="true" outlineLevel="0" collapsed="false">
      <c r="A6" s="11" t="s">
        <v>409</v>
      </c>
      <c r="B6" s="12" t="s">
        <v>410</v>
      </c>
      <c r="C6" s="11" t="s">
        <v>391</v>
      </c>
      <c r="D6" s="12" t="s">
        <v>411</v>
      </c>
      <c r="E6" s="12" t="s">
        <v>412</v>
      </c>
      <c r="F6" s="11" t="s">
        <v>413</v>
      </c>
      <c r="G6" s="11" t="s">
        <v>158</v>
      </c>
    </row>
    <row r="7" customFormat="false" ht="42" hidden="false" customHeight="true" outlineLevel="0" collapsed="false">
      <c r="A7" s="11" t="s">
        <v>414</v>
      </c>
      <c r="B7" s="12" t="s">
        <v>415</v>
      </c>
      <c r="C7" s="11" t="s">
        <v>154</v>
      </c>
      <c r="D7" s="12" t="s">
        <v>416</v>
      </c>
      <c r="E7" s="12" t="s">
        <v>417</v>
      </c>
      <c r="F7" s="11" t="s">
        <v>253</v>
      </c>
      <c r="G7" s="11" t="s">
        <v>144</v>
      </c>
    </row>
    <row r="8" customFormat="false" ht="42" hidden="false" customHeight="true" outlineLevel="0" collapsed="false">
      <c r="A8" s="11" t="s">
        <v>418</v>
      </c>
      <c r="B8" s="12" t="s">
        <v>419</v>
      </c>
      <c r="C8" s="11" t="s">
        <v>149</v>
      </c>
      <c r="D8" s="12" t="s">
        <v>420</v>
      </c>
      <c r="E8" s="12" t="s">
        <v>421</v>
      </c>
      <c r="F8" s="11" t="s">
        <v>413</v>
      </c>
      <c r="G8" s="11" t="s">
        <v>144</v>
      </c>
    </row>
    <row r="9" customFormat="false" ht="42" hidden="false" customHeight="true" outlineLevel="0" collapsed="false">
      <c r="A9" s="11" t="s">
        <v>422</v>
      </c>
      <c r="B9" s="12" t="s">
        <v>423</v>
      </c>
      <c r="C9" s="11" t="s">
        <v>166</v>
      </c>
      <c r="D9" s="12" t="s">
        <v>424</v>
      </c>
      <c r="E9" s="12" t="s">
        <v>425</v>
      </c>
      <c r="F9" s="11" t="s">
        <v>413</v>
      </c>
      <c r="G9" s="11" t="s">
        <v>145</v>
      </c>
    </row>
    <row r="10" customFormat="false" ht="42" hidden="false" customHeight="true" outlineLevel="0" collapsed="false">
      <c r="A10" s="11" t="s">
        <v>426</v>
      </c>
      <c r="B10" s="12" t="s">
        <v>427</v>
      </c>
      <c r="C10" s="11" t="s">
        <v>154</v>
      </c>
      <c r="D10" s="12" t="s">
        <v>428</v>
      </c>
      <c r="E10" s="12" t="s">
        <v>429</v>
      </c>
      <c r="F10" s="11" t="s">
        <v>413</v>
      </c>
      <c r="G10" s="11" t="s">
        <v>144</v>
      </c>
    </row>
    <row r="11" customFormat="false" ht="42" hidden="false" customHeight="true" outlineLevel="0" collapsed="false">
      <c r="A11" s="11" t="s">
        <v>430</v>
      </c>
      <c r="B11" s="12" t="s">
        <v>431</v>
      </c>
      <c r="C11" s="11" t="s">
        <v>161</v>
      </c>
      <c r="D11" s="12" t="s">
        <v>432</v>
      </c>
      <c r="E11" s="12" t="s">
        <v>429</v>
      </c>
      <c r="F11" s="11" t="s">
        <v>413</v>
      </c>
      <c r="G11" s="11"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B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s>
  <sheetData>
    <row r="1" customFormat="false" ht="17.35" hidden="false" customHeight="false" outlineLevel="0" collapsed="false">
      <c r="A1" s="1" t="s">
        <v>433</v>
      </c>
    </row>
    <row r="2" customFormat="false" ht="15" hidden="false" customHeight="false" outlineLevel="0" collapsed="false">
      <c r="A2" s="2" t="s">
        <v>434</v>
      </c>
    </row>
    <row r="4" customFormat="false" ht="15" hidden="false" customHeight="false" outlineLevel="0" collapsed="false">
      <c r="A4" s="10" t="s">
        <v>435</v>
      </c>
      <c r="B4" s="10" t="s">
        <v>51</v>
      </c>
    </row>
    <row r="5" customFormat="false" ht="15" hidden="false" customHeight="false" outlineLevel="0" collapsed="false">
      <c r="A5" s="19" t="s">
        <v>436</v>
      </c>
      <c r="B5" s="14" t="n">
        <f aca="false">COUNTA(02_Risk_Register!$A$2:$A$6)</f>
        <v>5</v>
      </c>
    </row>
    <row r="6" customFormat="false" ht="15" hidden="false" customHeight="false" outlineLevel="0" collapsed="false">
      <c r="A6" s="19" t="s">
        <v>437</v>
      </c>
      <c r="B6" s="14" t="n">
        <f aca="false">COUNTIF(02_Risk_Register!$M$2:$M$6,"Critical")</f>
        <v>4</v>
      </c>
    </row>
    <row r="7" customFormat="false" ht="15" hidden="false" customHeight="false" outlineLevel="0" collapsed="false">
      <c r="A7" s="19" t="s">
        <v>438</v>
      </c>
      <c r="B7" s="14" t="n">
        <f aca="false">COUNTIF(02_Risk_Register!$M$2:$M$6,"High")</f>
        <v>1</v>
      </c>
    </row>
    <row r="8" customFormat="false" ht="15" hidden="false" customHeight="false" outlineLevel="0" collapsed="false">
      <c r="A8" s="19" t="s">
        <v>439</v>
      </c>
      <c r="B8" s="14" t="n">
        <f aca="false">COUNTIF(02_Risk_Register!$M$2:$M$6,"Medium")</f>
        <v>0</v>
      </c>
    </row>
    <row r="9" customFormat="false" ht="15" hidden="false" customHeight="false" outlineLevel="0" collapsed="false">
      <c r="A9" s="19" t="s">
        <v>440</v>
      </c>
      <c r="B9" s="14" t="n">
        <f aca="false">COUNTIF(02_Risk_Register!$M$2:$M$6,"Low")</f>
        <v>0</v>
      </c>
    </row>
    <row r="10" customFormat="false" ht="15" hidden="false" customHeight="false" outlineLevel="0" collapsed="false">
      <c r="A10" s="19" t="s">
        <v>441</v>
      </c>
      <c r="B10" s="14" t="n">
        <f aca="false">SUM(02_Risk_Register!$F$2:$F$6)</f>
        <v>92</v>
      </c>
    </row>
    <row r="11" customFormat="false" ht="15" hidden="false" customHeight="false" outlineLevel="0" collapsed="false">
      <c r="A11" s="19" t="s">
        <v>442</v>
      </c>
      <c r="B11" s="14" t="n">
        <f aca="false">COUNTA(02_Risk_Register!$A$2:$A$6)*25</f>
        <v>125</v>
      </c>
    </row>
    <row r="12" customFormat="false" ht="15" hidden="false" customHeight="false" outlineLevel="0" collapsed="false">
      <c r="A12" s="19" t="s">
        <v>443</v>
      </c>
      <c r="B12" s="20" t="n">
        <f aca="false">IFERROR(AVERAGE(02_Risk_Register!$F$2:$F$6),0)</f>
        <v>18.4</v>
      </c>
    </row>
    <row r="13" customFormat="false" ht="15" hidden="false" customHeight="false" outlineLevel="0" collapsed="false">
      <c r="A13" s="19" t="s">
        <v>444</v>
      </c>
      <c r="B13" s="14" t="n">
        <f aca="false">COUNTIF(02_Risk_Register!$N$2:$N$6,"Critical")</f>
        <v>0</v>
      </c>
    </row>
    <row r="14" customFormat="false" ht="15" hidden="false" customHeight="false" outlineLevel="0" collapsed="false">
      <c r="A14" s="19" t="s">
        <v>445</v>
      </c>
      <c r="B14" s="14" t="n">
        <f aca="false">COUNTIF(02_Risk_Register!$N$2:$N$6,"High")</f>
        <v>2</v>
      </c>
    </row>
    <row r="15" customFormat="false" ht="15" hidden="false" customHeight="false" outlineLevel="0" collapsed="false">
      <c r="A15" s="19" t="s">
        <v>446</v>
      </c>
      <c r="B15" s="14" t="n">
        <f aca="false">COUNTIF(02_Risk_Register!$N$2:$N$6,"Medium")</f>
        <v>3</v>
      </c>
    </row>
    <row r="16" customFormat="false" ht="15" hidden="false" customHeight="false" outlineLevel="0" collapsed="false">
      <c r="A16" s="19" t="s">
        <v>447</v>
      </c>
      <c r="B16" s="14" t="n">
        <f aca="false">COUNTIF(02_Risk_Register!$N$2:$N$6,"Low")</f>
        <v>0</v>
      </c>
    </row>
    <row r="17" customFormat="false" ht="15" hidden="false" customHeight="false" outlineLevel="0" collapsed="false">
      <c r="A17" s="19" t="s">
        <v>448</v>
      </c>
      <c r="B17" s="14" t="n">
        <f aca="false">SUM(02_Risk_Register!$J$2:$J$6)</f>
        <v>44</v>
      </c>
    </row>
    <row r="18" customFormat="false" ht="15" hidden="false" customHeight="false" outlineLevel="0" collapsed="false">
      <c r="A18" s="19" t="s">
        <v>449</v>
      </c>
      <c r="B18" s="20" t="n">
        <f aca="false">IFERROR(AVERAGE(02_Risk_Register!$J$2:$J$6),0)</f>
        <v>8.8</v>
      </c>
    </row>
    <row r="19" customFormat="false" ht="15" hidden="false" customHeight="false" outlineLevel="0" collapsed="false">
      <c r="A19" s="19" t="s">
        <v>450</v>
      </c>
      <c r="B19" s="14" t="n">
        <f aca="false">SUM(02_Risk_Register!$O$2:$O$6)</f>
        <v>48</v>
      </c>
    </row>
    <row r="20" customFormat="false" ht="15" hidden="false" customHeight="false" outlineLevel="0" collapsed="false">
      <c r="A20" s="19" t="s">
        <v>451</v>
      </c>
      <c r="B20" s="21" t="n">
        <f aca="false">IFERROR(SUM(02_Risk_Register!$O$2:$O$6)/SUM(02_Risk_Register!$F$2:$F$6),0)</f>
        <v>0.521739130434783</v>
      </c>
    </row>
    <row r="21" customFormat="false" ht="15" hidden="false" customHeight="false" outlineLevel="0" collapsed="false">
      <c r="A21" s="19" t="s">
        <v>452</v>
      </c>
      <c r="B21" s="14" t="n">
        <f aca="false">COUNTIF(02_Risk_Register!$N$2:$N$6,"High")+COUNTIF(02_Risk_Register!$N$2:$N$6,"Critical")</f>
        <v>2</v>
      </c>
    </row>
    <row r="22" customFormat="false" ht="15" hidden="false" customHeight="false" outlineLevel="0" collapsed="false">
      <c r="A22" s="19" t="s">
        <v>453</v>
      </c>
      <c r="B22" s="14" t="n">
        <f aca="false">COUNTIF(02_Risk_Register!$K$2:$K$6,"Mitigate*")</f>
        <v>5</v>
      </c>
    </row>
    <row r="23" customFormat="false" ht="15" hidden="false" customHeight="false" outlineLevel="0" collapsed="false">
      <c r="A23" s="19" t="s">
        <v>454</v>
      </c>
      <c r="B23" s="14" t="n">
        <f aca="false">COUNTIF(02_Risk_Register!$K$2:$K$6,"*Transfer*")</f>
        <v>1</v>
      </c>
    </row>
    <row r="24" customFormat="false" ht="15" hidden="false" customHeight="false" outlineLevel="0" collapsed="false">
      <c r="A24" s="19" t="s">
        <v>455</v>
      </c>
      <c r="B24" s="14" t="n">
        <f aca="false">COUNTIF(06_Accept_Avoid!$A$1:$A$60,"*ACC-*")</f>
        <v>1</v>
      </c>
    </row>
    <row r="25" customFormat="false" ht="15" hidden="false" customHeight="false" outlineLevel="0" collapsed="false">
      <c r="A25" s="19" t="s">
        <v>456</v>
      </c>
      <c r="B25" s="14" t="n">
        <f aca="false">COUNTIF(06_Accept_Avoid!$A$1:$A$60,"*AVD-*")</f>
        <v>1</v>
      </c>
    </row>
    <row r="26" customFormat="false" ht="15" hidden="false" customHeight="false" outlineLevel="0" collapsed="false">
      <c r="A26" s="19" t="s">
        <v>457</v>
      </c>
      <c r="B26" s="14" t="n">
        <f aca="false">COUNTIF(07_Control_Gaps!$A$1:$A$60,"*CG-*")</f>
        <v>5</v>
      </c>
    </row>
    <row r="27" customFormat="false" ht="15" hidden="false" customHeight="false" outlineLevel="0" collapsed="false">
      <c r="A27" s="19" t="s">
        <v>458</v>
      </c>
      <c r="B27" s="14" t="n">
        <f aca="false">COUNTIF(05_Treatment_Plan!$A$1:$A$60,"*TP-*")</f>
        <v>10</v>
      </c>
    </row>
    <row r="28" customFormat="false" ht="15" hidden="false" customHeight="false" outlineLevel="0" collapsed="false">
      <c r="A28" s="19" t="s">
        <v>459</v>
      </c>
      <c r="B28" s="14" t="n">
        <f aca="false">SUMIF(05_Treatment_Plan!$A$1:$A$60,"*TP-*",05_Treatment_Plan!$G$1:$G$60)</f>
        <v>32100</v>
      </c>
    </row>
    <row r="30" customFormat="false" ht="15" hidden="false" customHeight="false" outlineLevel="0" collapsed="false">
      <c r="A30" s="5" t="s">
        <v>460</v>
      </c>
    </row>
    <row r="31" customFormat="false" ht="15" hidden="false" customHeight="false" outlineLevel="0" collapsed="false">
      <c r="A31" s="22"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66"/>
    <col collapsed="false" customWidth="true" hidden="false" outlineLevel="0" max="4" min="4" style="0" width="20"/>
  </cols>
  <sheetData>
    <row r="1" customFormat="false" ht="17.35" hidden="false" customHeight="false" outlineLevel="0" collapsed="false">
      <c r="A1" s="1" t="s">
        <v>462</v>
      </c>
    </row>
    <row r="2" customFormat="false" ht="15" hidden="false" customHeight="false" outlineLevel="0" collapsed="false">
      <c r="A2" s="2" t="s">
        <v>463</v>
      </c>
    </row>
    <row r="4" customFormat="false" ht="15" hidden="false" customHeight="false" outlineLevel="0" collapsed="false">
      <c r="A4" s="5" t="s">
        <v>464</v>
      </c>
    </row>
    <row r="5" customFormat="false" ht="15" hidden="false" customHeight="true" outlineLevel="0" collapsed="false">
      <c r="A5" s="4" t="s">
        <v>465</v>
      </c>
      <c r="B5" s="4"/>
      <c r="C5" s="4"/>
      <c r="D5" s="4"/>
    </row>
    <row r="6" customFormat="false" ht="15" hidden="false" customHeight="false" outlineLevel="0" collapsed="false">
      <c r="A6" s="4"/>
      <c r="B6" s="4"/>
      <c r="C6" s="4"/>
      <c r="D6" s="4"/>
    </row>
    <row r="7" customFormat="false" ht="15" hidden="false" customHeight="false" outlineLevel="0" collapsed="false">
      <c r="A7" s="4"/>
      <c r="B7" s="4"/>
      <c r="C7" s="4"/>
      <c r="D7" s="4"/>
    </row>
    <row r="8" customFormat="false" ht="15" hidden="false" customHeight="false" outlineLevel="0" collapsed="false">
      <c r="A8" s="4"/>
      <c r="B8" s="4"/>
      <c r="C8" s="4"/>
      <c r="D8" s="4"/>
    </row>
    <row r="10" customFormat="false" ht="15" hidden="false" customHeight="false" outlineLevel="0" collapsed="false">
      <c r="A10" s="5" t="s">
        <v>466</v>
      </c>
    </row>
    <row r="11" customFormat="false" ht="15" hidden="false" customHeight="false" outlineLevel="0" collapsed="false">
      <c r="A11" s="10" t="s">
        <v>99</v>
      </c>
      <c r="B11" s="10" t="s">
        <v>467</v>
      </c>
      <c r="C11" s="10" t="s">
        <v>468</v>
      </c>
    </row>
    <row r="12" customFormat="false" ht="63.75" hidden="false" customHeight="true" outlineLevel="0" collapsed="false">
      <c r="A12" s="11" t="s">
        <v>469</v>
      </c>
      <c r="B12" s="11" t="s">
        <v>470</v>
      </c>
      <c r="C12" s="12" t="s">
        <v>471</v>
      </c>
    </row>
    <row r="13" customFormat="false" ht="63.75" hidden="false" customHeight="true" outlineLevel="0" collapsed="false">
      <c r="A13" s="11" t="s">
        <v>472</v>
      </c>
      <c r="B13" s="11" t="s">
        <v>473</v>
      </c>
      <c r="C13" s="12" t="s">
        <v>474</v>
      </c>
    </row>
    <row r="14" customFormat="false" ht="63.75" hidden="false" customHeight="true" outlineLevel="0" collapsed="false">
      <c r="A14" s="11" t="s">
        <v>475</v>
      </c>
      <c r="B14" s="11" t="s">
        <v>476</v>
      </c>
      <c r="C14" s="12" t="s">
        <v>477</v>
      </c>
    </row>
    <row r="15" customFormat="false" ht="63.75" hidden="false" customHeight="true" outlineLevel="0" collapsed="false">
      <c r="A15" s="11" t="s">
        <v>478</v>
      </c>
      <c r="B15" s="11" t="s">
        <v>479</v>
      </c>
      <c r="C15" s="12" t="s">
        <v>480</v>
      </c>
    </row>
    <row r="16" customFormat="false" ht="63.75" hidden="false" customHeight="true" outlineLevel="0" collapsed="false">
      <c r="A16" s="11" t="s">
        <v>481</v>
      </c>
      <c r="B16" s="11" t="s">
        <v>89</v>
      </c>
      <c r="C16" s="12" t="s">
        <v>482</v>
      </c>
    </row>
    <row r="18" customFormat="false" ht="15" hidden="false" customHeight="false" outlineLevel="0" collapsed="false">
      <c r="A18" s="5" t="s">
        <v>483</v>
      </c>
    </row>
    <row r="19" customFormat="false" ht="15" hidden="false" customHeight="true" outlineLevel="0" collapsed="false">
      <c r="A19" s="4" t="s">
        <v>484</v>
      </c>
      <c r="B19" s="4"/>
      <c r="C19" s="4"/>
      <c r="D19" s="4"/>
    </row>
    <row r="20" customFormat="false" ht="15" hidden="false" customHeight="false" outlineLevel="0" collapsed="false">
      <c r="A20" s="4"/>
      <c r="B20" s="4"/>
      <c r="C20" s="4"/>
      <c r="D20" s="4"/>
    </row>
    <row r="21" customFormat="false" ht="15" hidden="false" customHeight="false" outlineLevel="0" collapsed="false">
      <c r="A21" s="4"/>
      <c r="B21" s="4"/>
      <c r="C21" s="4"/>
      <c r="D21" s="4"/>
    </row>
    <row r="23" customFormat="false" ht="15" hidden="false" customHeight="false" outlineLevel="0" collapsed="false">
      <c r="A23" s="5" t="s">
        <v>485</v>
      </c>
    </row>
    <row r="24" customFormat="false" ht="15" hidden="false" customHeight="false" outlineLevel="0" collapsed="false">
      <c r="A24" s="10" t="s">
        <v>486</v>
      </c>
      <c r="B24" s="10" t="s">
        <v>487</v>
      </c>
      <c r="C24" s="10" t="s">
        <v>297</v>
      </c>
      <c r="D24" s="10" t="s">
        <v>488</v>
      </c>
    </row>
    <row r="25" customFormat="false" ht="30" hidden="false" customHeight="true" outlineLevel="0" collapsed="false">
      <c r="A25" s="11" t="s">
        <v>489</v>
      </c>
      <c r="B25" s="11" t="s">
        <v>63</v>
      </c>
      <c r="C25" s="12" t="s">
        <v>490</v>
      </c>
      <c r="D25" s="11" t="s">
        <v>73</v>
      </c>
    </row>
    <row r="26" customFormat="false" ht="30" hidden="false" customHeight="true" outlineLevel="0" collapsed="false">
      <c r="A26" s="11" t="s">
        <v>491</v>
      </c>
      <c r="B26" s="11" t="s">
        <v>61</v>
      </c>
      <c r="C26" s="12" t="s">
        <v>492</v>
      </c>
      <c r="D26" s="11" t="s">
        <v>73</v>
      </c>
    </row>
    <row r="27" customFormat="false" ht="30" hidden="false" customHeight="true" outlineLevel="0" collapsed="false">
      <c r="A27" s="11" t="s">
        <v>64</v>
      </c>
      <c r="B27" s="11" t="s">
        <v>65</v>
      </c>
      <c r="C27" s="12" t="s">
        <v>493</v>
      </c>
      <c r="D27" s="11" t="s">
        <v>73</v>
      </c>
    </row>
    <row r="29" customFormat="false" ht="15" hidden="false" customHeight="false" outlineLevel="0" collapsed="false">
      <c r="A29" s="7" t="s">
        <v>494</v>
      </c>
    </row>
  </sheetData>
  <mergeCells count="2">
    <mergeCell ref="A5:D8"/>
    <mergeCell ref="A19: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0"/>
  </cols>
  <sheetData>
    <row r="1" customFormat="false" ht="17.35" hidden="false" customHeight="false" outlineLevel="0" collapsed="false">
      <c r="A1" s="1" t="s">
        <v>495</v>
      </c>
    </row>
    <row r="2" customFormat="false" ht="15" hidden="false" customHeight="false" outlineLevel="0" collapsed="false">
      <c r="A2" s="2" t="s">
        <v>496</v>
      </c>
    </row>
    <row r="4" customFormat="false" ht="15" hidden="false" customHeight="false" outlineLevel="0" collapsed="false">
      <c r="A4" s="10" t="s">
        <v>497</v>
      </c>
      <c r="B4" s="10" t="s">
        <v>498</v>
      </c>
    </row>
    <row r="5" customFormat="false" ht="27.75" hidden="false" customHeight="true" outlineLevel="0" collapsed="false">
      <c r="A5" s="23"/>
      <c r="B5" s="12" t="s">
        <v>499</v>
      </c>
    </row>
    <row r="6" customFormat="false" ht="27.75" hidden="false" customHeight="true" outlineLevel="0" collapsed="false">
      <c r="A6" s="23"/>
      <c r="B6" s="12" t="s">
        <v>500</v>
      </c>
    </row>
    <row r="7" customFormat="false" ht="27.75" hidden="false" customHeight="true" outlineLevel="0" collapsed="false">
      <c r="A7" s="23"/>
      <c r="B7" s="12" t="s">
        <v>501</v>
      </c>
    </row>
    <row r="8" customFormat="false" ht="27.75" hidden="false" customHeight="true" outlineLevel="0" collapsed="false">
      <c r="A8" s="23"/>
      <c r="B8" s="12" t="s">
        <v>502</v>
      </c>
    </row>
    <row r="9" customFormat="false" ht="27.75" hidden="false" customHeight="true" outlineLevel="0" collapsed="false">
      <c r="A9" s="23"/>
      <c r="B9" s="12" t="s">
        <v>503</v>
      </c>
    </row>
    <row r="10" customFormat="false" ht="27.75" hidden="false" customHeight="true" outlineLevel="0" collapsed="false">
      <c r="A10" s="23"/>
      <c r="B10" s="12" t="s">
        <v>504</v>
      </c>
    </row>
    <row r="11" customFormat="false" ht="27.75" hidden="false" customHeight="true" outlineLevel="0" collapsed="false">
      <c r="A11" s="23"/>
      <c r="B11" s="12" t="s">
        <v>505</v>
      </c>
    </row>
    <row r="12" customFormat="false" ht="27.75" hidden="false" customHeight="true" outlineLevel="0" collapsed="false">
      <c r="A12" s="23"/>
      <c r="B12" s="12" t="s">
        <v>506</v>
      </c>
    </row>
    <row r="13" customFormat="false" ht="27.75" hidden="false" customHeight="true" outlineLevel="0" collapsed="false">
      <c r="A13" s="23"/>
      <c r="B13" s="12" t="s">
        <v>507</v>
      </c>
    </row>
    <row r="14" customFormat="false" ht="27.75" hidden="false" customHeight="true" outlineLevel="0" collapsed="false">
      <c r="A14" s="23"/>
      <c r="B14" s="12" t="s">
        <v>508</v>
      </c>
    </row>
    <row r="15" customFormat="false" ht="27.75" hidden="false" customHeight="true" outlineLevel="0" collapsed="false">
      <c r="A15" s="23"/>
      <c r="B15" s="12" t="s">
        <v>509</v>
      </c>
    </row>
    <row r="16" customFormat="false" ht="27.75" hidden="false" customHeight="true" outlineLevel="0" collapsed="false">
      <c r="A16" s="23"/>
      <c r="B16" s="12" t="s">
        <v>510</v>
      </c>
    </row>
    <row r="17" customFormat="false" ht="27.75" hidden="false" customHeight="true" outlineLevel="0" collapsed="false">
      <c r="A17" s="23"/>
      <c r="B17" s="12" t="s">
        <v>511</v>
      </c>
    </row>
    <row r="18" customFormat="false" ht="27.75" hidden="false" customHeight="true" outlineLevel="0" collapsed="false">
      <c r="A18" s="23"/>
      <c r="B18" s="12" t="s">
        <v>512</v>
      </c>
    </row>
    <row r="19" customFormat="false" ht="27.75" hidden="false" customHeight="true" outlineLevel="0" collapsed="false">
      <c r="A19" s="23"/>
      <c r="B19" s="12" t="s">
        <v>513</v>
      </c>
    </row>
  </sheetData>
  <dataValidations count="1">
    <dataValidation allowBlank="true" errorStyle="stop" operator="between" showDropDown="false" showErrorMessage="false" showInputMessage="false" sqref="A5:A19" type="list">
      <formula1>"x"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2026-09-09T16:02:22Z</dcterms:created>
  <dc:creator>openpyxl</dc:creator>
  <dc:description/>
  <dc:language>en-US</dc:language>
  <cp:lastModifiedBy/>
  <dcterms:modified xsi:type="dcterms:W3CDTF">2026-09-09T16:02:22Z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